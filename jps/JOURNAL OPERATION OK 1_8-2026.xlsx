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licers/slicer1.xml" ContentType="application/vnd.ms-excel.slicer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l\OneDrive\Documents\DOCS JPS\COMPTABILITE JPS\JOURNAL\"/>
    </mc:Choice>
  </mc:AlternateContent>
  <xr:revisionPtr revIDLastSave="0" documentId="13_ncr:1_{8A8BD70B-4137-42DB-B00E-050DFF1C8B1E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euil2" sheetId="2" state="hidden" r:id="rId1"/>
    <sheet name="JOURNAL DES OPERATIONS" sheetId="1" r:id="rId2"/>
    <sheet name="Feuil1" sheetId="4" state="hidden" r:id="rId3"/>
    <sheet name="SYTHESE JOURNALIER" sheetId="3" r:id="rId4"/>
  </sheets>
  <definedNames>
    <definedName name="_xlnm._FilterDatabase" localSheetId="1" hidden="1">'JOURNAL DES OPERATIONS'!$C$11:$J$130</definedName>
    <definedName name="Segment_DATE">#N/A</definedName>
    <definedName name="Segment_MODALIT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3" i="1" l="1"/>
  <c r="G15" i="3" l="1"/>
  <c r="I15" i="3"/>
  <c r="K15" i="3"/>
  <c r="I16" i="3"/>
  <c r="K16" i="3"/>
  <c r="I17" i="3"/>
  <c r="K17" i="3"/>
  <c r="I18" i="3"/>
  <c r="K18" i="3"/>
  <c r="I19" i="3"/>
  <c r="K19" i="3"/>
  <c r="I20" i="3"/>
  <c r="K20" i="3"/>
  <c r="I21" i="3"/>
  <c r="K21" i="3"/>
  <c r="I22" i="3"/>
  <c r="K22" i="3"/>
  <c r="G16" i="3"/>
  <c r="G17" i="3"/>
  <c r="G18" i="3"/>
  <c r="G19" i="3"/>
  <c r="G20" i="3"/>
  <c r="G21" i="3"/>
  <c r="G22" i="3"/>
  <c r="F11" i="3" l="1"/>
  <c r="G11" i="3"/>
  <c r="F12" i="3"/>
  <c r="CG11" i="3" l="1"/>
  <c r="CG21" i="3"/>
  <c r="M15" i="3"/>
  <c r="O15" i="3"/>
  <c r="Q15" i="3"/>
  <c r="S15" i="3"/>
  <c r="U15" i="3"/>
  <c r="W15" i="3"/>
  <c r="Y15" i="3"/>
  <c r="AA15" i="3"/>
  <c r="AC15" i="3"/>
  <c r="AE15" i="3"/>
  <c r="AG15" i="3"/>
  <c r="AI15" i="3"/>
  <c r="AK15" i="3"/>
  <c r="AM15" i="3"/>
  <c r="AO15" i="3"/>
  <c r="AQ15" i="3"/>
  <c r="AS15" i="3"/>
  <c r="AU15" i="3"/>
  <c r="AW15" i="3"/>
  <c r="AY15" i="3"/>
  <c r="BA15" i="3"/>
  <c r="BC15" i="3"/>
  <c r="BE15" i="3"/>
  <c r="BG15" i="3"/>
  <c r="BI15" i="3"/>
  <c r="BK15" i="3"/>
  <c r="BM15" i="3"/>
  <c r="BO15" i="3"/>
  <c r="BQ15" i="3"/>
  <c r="BS15" i="3"/>
  <c r="BU15" i="3"/>
  <c r="BW15" i="3"/>
  <c r="BY15" i="3"/>
  <c r="CA15" i="3"/>
  <c r="CC15" i="3"/>
  <c r="CE15" i="3"/>
  <c r="CG15" i="3"/>
  <c r="M16" i="3"/>
  <c r="O16" i="3"/>
  <c r="Q16" i="3"/>
  <c r="S16" i="3"/>
  <c r="U16" i="3"/>
  <c r="W16" i="3"/>
  <c r="Y16" i="3"/>
  <c r="AA16" i="3"/>
  <c r="AC16" i="3"/>
  <c r="AE16" i="3"/>
  <c r="AG16" i="3"/>
  <c r="AI16" i="3"/>
  <c r="AK16" i="3"/>
  <c r="AM16" i="3"/>
  <c r="AO16" i="3"/>
  <c r="AQ16" i="3"/>
  <c r="AS16" i="3"/>
  <c r="AU16" i="3"/>
  <c r="AW16" i="3"/>
  <c r="AY16" i="3"/>
  <c r="BA16" i="3"/>
  <c r="BC16" i="3"/>
  <c r="BE16" i="3"/>
  <c r="BG16" i="3"/>
  <c r="BI16" i="3"/>
  <c r="BK16" i="3"/>
  <c r="BM16" i="3"/>
  <c r="BO16" i="3"/>
  <c r="BQ16" i="3"/>
  <c r="BS16" i="3"/>
  <c r="BU16" i="3"/>
  <c r="BW16" i="3"/>
  <c r="BY16" i="3"/>
  <c r="CA16" i="3"/>
  <c r="CC16" i="3"/>
  <c r="CE16" i="3"/>
  <c r="CG16" i="3"/>
  <c r="M17" i="3"/>
  <c r="O17" i="3"/>
  <c r="Q17" i="3"/>
  <c r="S17" i="3"/>
  <c r="U17" i="3"/>
  <c r="W17" i="3"/>
  <c r="Y17" i="3"/>
  <c r="AA17" i="3"/>
  <c r="AC17" i="3"/>
  <c r="AE17" i="3"/>
  <c r="AG17" i="3"/>
  <c r="AI17" i="3"/>
  <c r="AK17" i="3"/>
  <c r="AM17" i="3"/>
  <c r="AO17" i="3"/>
  <c r="AQ17" i="3"/>
  <c r="AS17" i="3"/>
  <c r="AU17" i="3"/>
  <c r="AW17" i="3"/>
  <c r="AY17" i="3"/>
  <c r="BA17" i="3"/>
  <c r="BC17" i="3"/>
  <c r="BE17" i="3"/>
  <c r="BG17" i="3"/>
  <c r="BI17" i="3"/>
  <c r="BK17" i="3"/>
  <c r="BM17" i="3"/>
  <c r="BO17" i="3"/>
  <c r="BQ17" i="3"/>
  <c r="BS17" i="3"/>
  <c r="BU17" i="3"/>
  <c r="BW17" i="3"/>
  <c r="BY17" i="3"/>
  <c r="CA17" i="3"/>
  <c r="CC17" i="3"/>
  <c r="CE17" i="3"/>
  <c r="CG17" i="3"/>
  <c r="M18" i="3"/>
  <c r="O18" i="3"/>
  <c r="Q18" i="3"/>
  <c r="S18" i="3"/>
  <c r="U18" i="3"/>
  <c r="W18" i="3"/>
  <c r="Y18" i="3"/>
  <c r="AA18" i="3"/>
  <c r="AC18" i="3"/>
  <c r="AE18" i="3"/>
  <c r="AG18" i="3"/>
  <c r="AI18" i="3"/>
  <c r="AK18" i="3"/>
  <c r="AM18" i="3"/>
  <c r="AO18" i="3"/>
  <c r="AQ18" i="3"/>
  <c r="AS18" i="3"/>
  <c r="AU18" i="3"/>
  <c r="AW18" i="3"/>
  <c r="AY18" i="3"/>
  <c r="BA18" i="3"/>
  <c r="BC18" i="3"/>
  <c r="BE18" i="3"/>
  <c r="BG18" i="3"/>
  <c r="BI18" i="3"/>
  <c r="BK18" i="3"/>
  <c r="BM18" i="3"/>
  <c r="BO18" i="3"/>
  <c r="BQ18" i="3"/>
  <c r="BS18" i="3"/>
  <c r="BU18" i="3"/>
  <c r="BW18" i="3"/>
  <c r="BY18" i="3"/>
  <c r="CA18" i="3"/>
  <c r="CC18" i="3"/>
  <c r="CE18" i="3"/>
  <c r="CG18" i="3"/>
  <c r="M19" i="3"/>
  <c r="O19" i="3"/>
  <c r="Q19" i="3"/>
  <c r="S19" i="3"/>
  <c r="U19" i="3"/>
  <c r="W19" i="3"/>
  <c r="Y19" i="3"/>
  <c r="AA19" i="3"/>
  <c r="AC19" i="3"/>
  <c r="AE19" i="3"/>
  <c r="AG19" i="3"/>
  <c r="AI19" i="3"/>
  <c r="AK19" i="3"/>
  <c r="AM19" i="3"/>
  <c r="AO19" i="3"/>
  <c r="AQ19" i="3"/>
  <c r="AS19" i="3"/>
  <c r="AU19" i="3"/>
  <c r="AW19" i="3"/>
  <c r="AY19" i="3"/>
  <c r="BA19" i="3"/>
  <c r="BC19" i="3"/>
  <c r="BE19" i="3"/>
  <c r="BG19" i="3"/>
  <c r="BI19" i="3"/>
  <c r="BK19" i="3"/>
  <c r="BM19" i="3"/>
  <c r="BO19" i="3"/>
  <c r="BQ19" i="3"/>
  <c r="BS19" i="3"/>
  <c r="BU19" i="3"/>
  <c r="BW19" i="3"/>
  <c r="BY19" i="3"/>
  <c r="CA19" i="3"/>
  <c r="CC19" i="3"/>
  <c r="CE19" i="3"/>
  <c r="CG19" i="3"/>
  <c r="M20" i="3"/>
  <c r="O20" i="3"/>
  <c r="Q20" i="3"/>
  <c r="S20" i="3"/>
  <c r="U20" i="3"/>
  <c r="W20" i="3"/>
  <c r="Y20" i="3"/>
  <c r="AA20" i="3"/>
  <c r="AC20" i="3"/>
  <c r="AE20" i="3"/>
  <c r="AG20" i="3"/>
  <c r="AI20" i="3"/>
  <c r="AK20" i="3"/>
  <c r="AM20" i="3"/>
  <c r="AO20" i="3"/>
  <c r="AQ20" i="3"/>
  <c r="AS20" i="3"/>
  <c r="AU20" i="3"/>
  <c r="AW20" i="3"/>
  <c r="AY20" i="3"/>
  <c r="BA20" i="3"/>
  <c r="BC20" i="3"/>
  <c r="BE20" i="3"/>
  <c r="BG20" i="3"/>
  <c r="BI20" i="3"/>
  <c r="BK20" i="3"/>
  <c r="BM20" i="3"/>
  <c r="BO20" i="3"/>
  <c r="BQ20" i="3"/>
  <c r="BS20" i="3"/>
  <c r="BU20" i="3"/>
  <c r="BW20" i="3"/>
  <c r="BY20" i="3"/>
  <c r="CA20" i="3"/>
  <c r="CC20" i="3"/>
  <c r="CE20" i="3"/>
  <c r="CG20" i="3"/>
  <c r="M21" i="3"/>
  <c r="O21" i="3"/>
  <c r="Q21" i="3"/>
  <c r="S21" i="3"/>
  <c r="U21" i="3"/>
  <c r="W21" i="3"/>
  <c r="Y21" i="3"/>
  <c r="AA21" i="3"/>
  <c r="AC21" i="3"/>
  <c r="AE21" i="3"/>
  <c r="AG21" i="3"/>
  <c r="AI21" i="3"/>
  <c r="AK21" i="3"/>
  <c r="AM21" i="3"/>
  <c r="AO21" i="3"/>
  <c r="AQ21" i="3"/>
  <c r="AS21" i="3"/>
  <c r="AU21" i="3"/>
  <c r="AW21" i="3"/>
  <c r="AY21" i="3"/>
  <c r="BA21" i="3"/>
  <c r="BC21" i="3"/>
  <c r="BE21" i="3"/>
  <c r="BG21" i="3"/>
  <c r="BI21" i="3"/>
  <c r="BK21" i="3"/>
  <c r="BM21" i="3"/>
  <c r="BO21" i="3"/>
  <c r="BQ21" i="3"/>
  <c r="BS21" i="3"/>
  <c r="BU21" i="3"/>
  <c r="BW21" i="3"/>
  <c r="BY21" i="3"/>
  <c r="CA21" i="3"/>
  <c r="CC21" i="3"/>
  <c r="CE21" i="3"/>
  <c r="M22" i="3"/>
  <c r="O22" i="3"/>
  <c r="Q22" i="3"/>
  <c r="S22" i="3"/>
  <c r="U22" i="3"/>
  <c r="W22" i="3"/>
  <c r="Y22" i="3"/>
  <c r="AA22" i="3"/>
  <c r="AC22" i="3"/>
  <c r="AE22" i="3"/>
  <c r="AG22" i="3"/>
  <c r="AI22" i="3"/>
  <c r="AK22" i="3"/>
  <c r="AM22" i="3"/>
  <c r="AO22" i="3"/>
  <c r="AQ22" i="3"/>
  <c r="AS22" i="3"/>
  <c r="AU22" i="3"/>
  <c r="AW22" i="3"/>
  <c r="AY22" i="3"/>
  <c r="BA22" i="3"/>
  <c r="BC22" i="3"/>
  <c r="BE22" i="3"/>
  <c r="BG22" i="3"/>
  <c r="BI22" i="3"/>
  <c r="BK22" i="3"/>
  <c r="BM22" i="3"/>
  <c r="BO22" i="3"/>
  <c r="BQ22" i="3"/>
  <c r="BS22" i="3"/>
  <c r="BU22" i="3"/>
  <c r="BW22" i="3"/>
  <c r="BY22" i="3"/>
  <c r="CA22" i="3"/>
  <c r="CC22" i="3"/>
  <c r="CE22" i="3"/>
  <c r="CG22" i="3"/>
  <c r="E21" i="3"/>
  <c r="P11" i="3"/>
  <c r="P12" i="3" s="1"/>
  <c r="Q11" i="3"/>
  <c r="R11" i="3"/>
  <c r="S11" i="3"/>
  <c r="T11" i="3"/>
  <c r="U11" i="3"/>
  <c r="V11" i="3"/>
  <c r="W11" i="3"/>
  <c r="X11" i="3"/>
  <c r="X12" i="3" s="1"/>
  <c r="Y11" i="3"/>
  <c r="Z11" i="3"/>
  <c r="AA11" i="3"/>
  <c r="AB11" i="3"/>
  <c r="AC11" i="3"/>
  <c r="AD11" i="3"/>
  <c r="AE11" i="3"/>
  <c r="AF11" i="3"/>
  <c r="AF12" i="3" s="1"/>
  <c r="AG11" i="3"/>
  <c r="AH11" i="3"/>
  <c r="AI11" i="3"/>
  <c r="AJ11" i="3"/>
  <c r="AJ12" i="3" s="1"/>
  <c r="AK11" i="3"/>
  <c r="AL11" i="3"/>
  <c r="AM11" i="3"/>
  <c r="AN11" i="3"/>
  <c r="AN12" i="3" s="1"/>
  <c r="AO11" i="3"/>
  <c r="AP11" i="3"/>
  <c r="AQ11" i="3"/>
  <c r="AR11" i="3"/>
  <c r="AS11" i="3"/>
  <c r="AT11" i="3"/>
  <c r="AU11" i="3"/>
  <c r="AV11" i="3"/>
  <c r="AV12" i="3" s="1"/>
  <c r="AW11" i="3"/>
  <c r="AX11" i="3"/>
  <c r="AY11" i="3"/>
  <c r="AZ11" i="3"/>
  <c r="BA11" i="3"/>
  <c r="BB11" i="3"/>
  <c r="BC11" i="3"/>
  <c r="BD11" i="3"/>
  <c r="BD12" i="3" s="1"/>
  <c r="BE11" i="3"/>
  <c r="BF11" i="3"/>
  <c r="BG11" i="3"/>
  <c r="BF12" i="3" s="1"/>
  <c r="BH11" i="3"/>
  <c r="BI11" i="3"/>
  <c r="BJ11" i="3"/>
  <c r="BK11" i="3"/>
  <c r="BL11" i="3"/>
  <c r="BL12" i="3" s="1"/>
  <c r="BM11" i="3"/>
  <c r="BN11" i="3"/>
  <c r="BO11" i="3"/>
  <c r="BP11" i="3"/>
  <c r="BQ11" i="3"/>
  <c r="BR11" i="3"/>
  <c r="BS11" i="3"/>
  <c r="BT11" i="3"/>
  <c r="BT12" i="3" s="1"/>
  <c r="BU11" i="3"/>
  <c r="BV11" i="3"/>
  <c r="BW11" i="3"/>
  <c r="BX11" i="3"/>
  <c r="BY11" i="3"/>
  <c r="BZ11" i="3"/>
  <c r="CA11" i="3"/>
  <c r="CB11" i="3"/>
  <c r="CB12" i="3" s="1"/>
  <c r="CC11" i="3"/>
  <c r="CD11" i="3"/>
  <c r="CE11" i="3"/>
  <c r="CF11" i="3"/>
  <c r="AB12" i="3"/>
  <c r="AR12" i="3"/>
  <c r="AX12" i="3"/>
  <c r="BN12" i="3"/>
  <c r="BX12" i="3" l="1"/>
  <c r="BP12" i="3"/>
  <c r="BH12" i="3"/>
  <c r="AZ12" i="3"/>
  <c r="T12" i="3"/>
  <c r="CD12" i="3"/>
  <c r="BV12" i="3"/>
  <c r="AP12" i="3"/>
  <c r="AH12" i="3"/>
  <c r="Z12" i="3"/>
  <c r="R12" i="3"/>
  <c r="BZ12" i="3"/>
  <c r="BR12" i="3"/>
  <c r="BJ12" i="3"/>
  <c r="BB12" i="3"/>
  <c r="AT12" i="3"/>
  <c r="AL12" i="3"/>
  <c r="AD12" i="3"/>
  <c r="V12" i="3"/>
  <c r="CF12" i="3"/>
  <c r="D11" i="3"/>
  <c r="O11" i="3"/>
  <c r="N11" i="3"/>
  <c r="J11" i="3"/>
  <c r="M11" i="3"/>
  <c r="L11" i="3"/>
  <c r="K11" i="3"/>
  <c r="I11" i="3"/>
  <c r="H11" i="3"/>
  <c r="E11" i="3"/>
  <c r="N12" i="3" l="1"/>
  <c r="J12" i="3"/>
  <c r="L12" i="3"/>
  <c r="E22" i="3"/>
  <c r="B10" i="3"/>
  <c r="C10" i="3"/>
  <c r="E15" i="3"/>
  <c r="E20" i="3"/>
  <c r="E19" i="3"/>
  <c r="E18" i="3"/>
  <c r="E17" i="3"/>
  <c r="E16" i="3"/>
  <c r="I15" i="4" a="1"/>
  <c r="I15" i="4" s="1"/>
  <c r="I28" i="4" a="1"/>
  <c r="I28" i="4" s="1"/>
  <c r="I20" i="4" a="1"/>
  <c r="I20" i="4" s="1"/>
  <c r="B5" i="3"/>
  <c r="C5" i="3"/>
  <c r="C3" i="3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10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C22" i="3" l="1"/>
  <c r="C17" i="3"/>
  <c r="C6" i="3"/>
  <c r="B9" i="3"/>
  <c r="C9" i="3"/>
  <c r="C8" i="3"/>
  <c r="B7" i="3"/>
  <c r="C7" i="3"/>
  <c r="C4" i="3"/>
  <c r="B3" i="3"/>
  <c r="C15" i="3" s="1"/>
  <c r="B4" i="3"/>
  <c r="B6" i="3"/>
  <c r="B8" i="3"/>
  <c r="E555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594" i="1"/>
  <c r="C21" i="3" l="1"/>
  <c r="C11" i="3"/>
  <c r="B11" i="3"/>
  <c r="C16" i="3"/>
  <c r="C18" i="3"/>
  <c r="C19" i="3"/>
  <c r="C20" i="3"/>
  <c r="H12" i="3" l="1"/>
  <c r="B12" i="3"/>
  <c r="D12" i="3"/>
  <c r="N8" i="1"/>
  <c r="N9" i="1"/>
  <c r="H1596" i="1"/>
  <c r="I1596" i="1"/>
  <c r="E179" i="1"/>
  <c r="N6" i="1"/>
  <c r="N7" i="1"/>
  <c r="N10" i="1"/>
  <c r="N11" i="1"/>
  <c r="N12" i="1"/>
  <c r="N5" i="1"/>
  <c r="O6" i="1"/>
  <c r="O7" i="1"/>
  <c r="O8" i="1"/>
  <c r="O9" i="1"/>
  <c r="O10" i="1"/>
  <c r="O11" i="1"/>
  <c r="O12" i="1"/>
  <c r="O5" i="1"/>
  <c r="P5" i="1" l="1"/>
  <c r="G4" i="2" l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l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G1006" i="2" s="1"/>
  <c r="G1007" i="2" s="1"/>
  <c r="G1008" i="2" s="1"/>
  <c r="G1009" i="2" s="1"/>
  <c r="G1010" i="2" s="1"/>
  <c r="G1011" i="2" s="1"/>
  <c r="G1012" i="2" s="1"/>
  <c r="G1013" i="2" s="1"/>
  <c r="G1014" i="2" s="1"/>
  <c r="G1015" i="2" s="1"/>
  <c r="G1016" i="2" s="1"/>
  <c r="G1017" i="2" s="1"/>
  <c r="G1018" i="2" s="1"/>
  <c r="G1019" i="2" s="1"/>
  <c r="G1020" i="2" s="1"/>
  <c r="G1021" i="2" s="1"/>
  <c r="G1022" i="2" s="1"/>
  <c r="G1023" i="2" s="1"/>
  <c r="G1024" i="2" s="1"/>
  <c r="G1025" i="2" s="1"/>
  <c r="G1026" i="2" s="1"/>
  <c r="G1027" i="2" s="1"/>
  <c r="G1028" i="2" s="1"/>
  <c r="G1029" i="2" s="1"/>
  <c r="G1030" i="2" s="1"/>
  <c r="G1031" i="2" s="1"/>
  <c r="G1032" i="2" s="1"/>
  <c r="G1033" i="2" s="1"/>
  <c r="G1034" i="2" s="1"/>
  <c r="G1035" i="2" s="1"/>
  <c r="G1036" i="2" s="1"/>
  <c r="G1037" i="2" s="1"/>
  <c r="G1038" i="2" s="1"/>
  <c r="G1039" i="2" s="1"/>
  <c r="G1040" i="2" s="1"/>
  <c r="G1041" i="2" s="1"/>
  <c r="G1042" i="2" s="1"/>
  <c r="G1043" i="2" s="1"/>
  <c r="G1044" i="2" s="1"/>
  <c r="G1045" i="2" s="1"/>
  <c r="G1046" i="2" s="1"/>
  <c r="G1047" i="2" s="1"/>
  <c r="G1048" i="2" s="1"/>
  <c r="G1049" i="2" s="1"/>
  <c r="G1050" i="2" s="1"/>
  <c r="G1051" i="2" s="1"/>
  <c r="G1052" i="2" s="1"/>
  <c r="G1053" i="2" s="1"/>
  <c r="G1054" i="2" s="1"/>
  <c r="G1055" i="2" s="1"/>
  <c r="G1056" i="2" s="1"/>
  <c r="G1057" i="2" s="1"/>
  <c r="G1058" i="2" s="1"/>
  <c r="G1059" i="2" s="1"/>
  <c r="G1060" i="2" s="1"/>
  <c r="G1061" i="2" s="1"/>
  <c r="G1062" i="2" s="1"/>
  <c r="G1063" i="2" s="1"/>
  <c r="G1064" i="2" s="1"/>
  <c r="G1065" i="2" s="1"/>
  <c r="G1066" i="2" s="1"/>
  <c r="G1067" i="2" s="1"/>
  <c r="G1068" i="2" s="1"/>
  <c r="G1069" i="2" s="1"/>
  <c r="G1070" i="2" s="1"/>
  <c r="G1071" i="2" s="1"/>
  <c r="G1072" i="2" s="1"/>
  <c r="G1073" i="2" s="1"/>
  <c r="G1074" i="2" s="1"/>
  <c r="G1075" i="2" s="1"/>
  <c r="G1076" i="2" s="1"/>
  <c r="G1077" i="2" s="1"/>
  <c r="G1078" i="2" s="1"/>
  <c r="G1079" i="2" s="1"/>
  <c r="G1080" i="2" s="1"/>
  <c r="G1081" i="2" s="1"/>
  <c r="G1082" i="2" s="1"/>
  <c r="G1083" i="2" s="1"/>
  <c r="G1084" i="2" s="1"/>
  <c r="G1085" i="2" s="1"/>
  <c r="G1086" i="2" s="1"/>
  <c r="G1087" i="2" s="1"/>
  <c r="G1088" i="2" s="1"/>
  <c r="G1089" i="2" s="1"/>
  <c r="G1090" i="2" s="1"/>
  <c r="G1091" i="2" s="1"/>
  <c r="G1092" i="2" s="1"/>
  <c r="G1093" i="2" s="1"/>
  <c r="G1094" i="2" s="1"/>
  <c r="G1095" i="2" s="1"/>
  <c r="G1096" i="2" s="1"/>
  <c r="G1097" i="2" s="1"/>
  <c r="G1098" i="2" s="1"/>
  <c r="G1099" i="2" s="1"/>
  <c r="G1100" i="2" s="1"/>
  <c r="G1101" i="2" s="1"/>
  <c r="G1102" i="2" s="1"/>
  <c r="G1103" i="2" s="1"/>
  <c r="G1104" i="2" s="1"/>
  <c r="G1105" i="2" s="1"/>
  <c r="G1106" i="2" s="1"/>
  <c r="G1107" i="2" s="1"/>
  <c r="G1108" i="2" s="1"/>
  <c r="G1109" i="2" s="1"/>
  <c r="G1110" i="2" s="1"/>
  <c r="G1111" i="2" s="1"/>
  <c r="G1112" i="2" s="1"/>
  <c r="G1113" i="2" s="1"/>
  <c r="G1114" i="2" s="1"/>
  <c r="G1115" i="2" s="1"/>
  <c r="G1116" i="2" s="1"/>
  <c r="G1117" i="2" s="1"/>
  <c r="G1118" i="2" s="1"/>
  <c r="G1119" i="2" s="1"/>
  <c r="G1120" i="2" s="1"/>
  <c r="G1121" i="2" s="1"/>
  <c r="G1122" i="2" s="1"/>
  <c r="G1123" i="2" s="1"/>
  <c r="G1124" i="2" s="1"/>
  <c r="G1125" i="2" s="1"/>
  <c r="G1126" i="2" s="1"/>
  <c r="G1127" i="2" s="1"/>
  <c r="G1128" i="2" s="1"/>
  <c r="G1129" i="2" s="1"/>
  <c r="G1130" i="2" s="1"/>
  <c r="G1131" i="2" s="1"/>
  <c r="G1132" i="2" s="1"/>
  <c r="G1133" i="2" s="1"/>
  <c r="G1134" i="2" s="1"/>
  <c r="G1135" i="2" s="1"/>
  <c r="G1136" i="2" s="1"/>
  <c r="G1137" i="2" s="1"/>
  <c r="G1138" i="2" s="1"/>
  <c r="G1139" i="2" s="1"/>
  <c r="G1140" i="2" s="1"/>
  <c r="G1141" i="2" s="1"/>
  <c r="G1142" i="2" s="1"/>
  <c r="G1143" i="2" s="1"/>
  <c r="G1144" i="2" s="1"/>
  <c r="G1145" i="2" s="1"/>
  <c r="G1146" i="2" s="1"/>
  <c r="G1147" i="2" s="1"/>
  <c r="G1148" i="2" s="1"/>
  <c r="G1149" i="2" s="1"/>
  <c r="G1150" i="2" s="1"/>
  <c r="G1151" i="2" s="1"/>
  <c r="G1152" i="2" s="1"/>
  <c r="G1153" i="2" s="1"/>
  <c r="G1154" i="2" s="1"/>
  <c r="G1155" i="2" s="1"/>
  <c r="G1156" i="2" s="1"/>
  <c r="G1157" i="2" s="1"/>
  <c r="G1158" i="2" s="1"/>
  <c r="G1159" i="2" s="1"/>
  <c r="G1160" i="2" s="1"/>
  <c r="G1161" i="2" s="1"/>
  <c r="G1162" i="2" s="1"/>
  <c r="G1163" i="2" s="1"/>
  <c r="G1164" i="2" s="1"/>
  <c r="G1165" i="2" s="1"/>
  <c r="G1166" i="2" s="1"/>
  <c r="G1167" i="2" s="1"/>
  <c r="G1168" i="2" s="1"/>
  <c r="G1169" i="2" s="1"/>
  <c r="G1170" i="2" s="1"/>
  <c r="G1171" i="2" s="1"/>
  <c r="G1172" i="2" s="1"/>
  <c r="G1173" i="2" s="1"/>
  <c r="G1174" i="2" s="1"/>
  <c r="G1175" i="2" s="1"/>
  <c r="G1176" i="2" s="1"/>
  <c r="G1177" i="2" s="1"/>
  <c r="G1178" i="2" s="1"/>
  <c r="G1179" i="2" s="1"/>
  <c r="G1180" i="2" s="1"/>
  <c r="G1181" i="2" s="1"/>
  <c r="G1182" i="2" s="1"/>
  <c r="G1183" i="2" s="1"/>
  <c r="G1184" i="2" s="1"/>
  <c r="G1185" i="2" s="1"/>
  <c r="G1186" i="2" s="1"/>
  <c r="G1187" i="2" s="1"/>
  <c r="G1188" i="2" s="1"/>
  <c r="G1189" i="2" s="1"/>
  <c r="G1190" i="2" s="1"/>
  <c r="G1191" i="2" s="1"/>
  <c r="G1192" i="2" s="1"/>
  <c r="G1193" i="2" s="1"/>
  <c r="G1194" i="2" s="1"/>
  <c r="G1195" i="2" s="1"/>
  <c r="G1196" i="2" s="1"/>
  <c r="G1197" i="2" s="1"/>
  <c r="G1198" i="2" s="1"/>
  <c r="G1199" i="2" s="1"/>
  <c r="G1200" i="2" s="1"/>
  <c r="G1201" i="2" s="1"/>
  <c r="G1202" i="2" s="1"/>
  <c r="G1203" i="2" s="1"/>
  <c r="G1204" i="2" s="1"/>
  <c r="G1205" i="2" s="1"/>
  <c r="G1206" i="2" s="1"/>
  <c r="G1207" i="2" s="1"/>
  <c r="G1208" i="2" s="1"/>
  <c r="G1209" i="2" s="1"/>
  <c r="G1210" i="2" s="1"/>
  <c r="G1211" i="2" s="1"/>
  <c r="G1212" i="2" s="1"/>
  <c r="G1213" i="2" s="1"/>
  <c r="G1214" i="2" s="1"/>
  <c r="G1215" i="2" s="1"/>
  <c r="G1216" i="2" s="1"/>
  <c r="G1217" i="2" s="1"/>
  <c r="G1218" i="2" s="1"/>
  <c r="G1219" i="2" s="1"/>
  <c r="G1220" i="2" s="1"/>
  <c r="G1221" i="2" s="1"/>
  <c r="G1222" i="2" s="1"/>
  <c r="G1223" i="2" s="1"/>
  <c r="G1224" i="2" s="1"/>
  <c r="G1225" i="2" s="1"/>
  <c r="G1226" i="2" s="1"/>
  <c r="G1227" i="2" s="1"/>
  <c r="G1228" i="2" s="1"/>
  <c r="G1229" i="2" s="1"/>
  <c r="G1230" i="2" s="1"/>
  <c r="G1231" i="2" s="1"/>
  <c r="G1232" i="2" s="1"/>
  <c r="G1233" i="2" s="1"/>
  <c r="G1234" i="2" s="1"/>
  <c r="G1235" i="2" s="1"/>
  <c r="G1236" i="2" s="1"/>
  <c r="G1237" i="2" s="1"/>
  <c r="G1238" i="2" s="1"/>
  <c r="G1239" i="2" s="1"/>
  <c r="G1240" i="2" s="1"/>
  <c r="G1241" i="2" s="1"/>
  <c r="G1242" i="2" s="1"/>
  <c r="G1243" i="2" s="1"/>
  <c r="G1244" i="2" s="1"/>
  <c r="G1245" i="2" s="1"/>
  <c r="G1246" i="2" s="1"/>
  <c r="G1247" i="2" s="1"/>
  <c r="G1248" i="2" s="1"/>
  <c r="G1249" i="2" s="1"/>
  <c r="G1250" i="2" s="1"/>
  <c r="G1251" i="2" s="1"/>
  <c r="G1252" i="2" s="1"/>
  <c r="G1253" i="2" s="1"/>
  <c r="G1254" i="2" s="1"/>
  <c r="G1255" i="2" s="1"/>
  <c r="G1256" i="2" s="1"/>
  <c r="G1257" i="2" s="1"/>
  <c r="G1258" i="2" s="1"/>
  <c r="G1259" i="2" s="1"/>
  <c r="G1260" i="2" s="1"/>
  <c r="G1261" i="2" s="1"/>
  <c r="G1262" i="2" s="1"/>
  <c r="G1263" i="2" s="1"/>
  <c r="G1264" i="2" s="1"/>
  <c r="G1265" i="2" s="1"/>
  <c r="G1266" i="2" s="1"/>
  <c r="G1267" i="2" s="1"/>
  <c r="G1268" i="2" s="1"/>
  <c r="G1269" i="2" s="1"/>
  <c r="G1270" i="2" s="1"/>
  <c r="G1271" i="2" s="1"/>
  <c r="G1272" i="2" s="1"/>
  <c r="G1273" i="2" s="1"/>
  <c r="G1274" i="2" s="1"/>
  <c r="G1275" i="2" s="1"/>
  <c r="G1276" i="2" s="1"/>
  <c r="G1277" i="2" s="1"/>
  <c r="G1278" i="2" s="1"/>
  <c r="G1279" i="2" s="1"/>
  <c r="G1280" i="2" s="1"/>
  <c r="G1281" i="2" s="1"/>
  <c r="G1282" i="2" s="1"/>
  <c r="G1283" i="2" s="1"/>
  <c r="G1284" i="2" s="1"/>
  <c r="G1285" i="2" s="1"/>
  <c r="G1286" i="2" s="1"/>
  <c r="G1287" i="2" s="1"/>
  <c r="G1288" i="2" s="1"/>
  <c r="G1289" i="2" s="1"/>
  <c r="G1290" i="2" s="1"/>
  <c r="G1291" i="2" s="1"/>
  <c r="G1292" i="2" s="1"/>
  <c r="G1293" i="2" s="1"/>
  <c r="G1294" i="2" s="1"/>
  <c r="G1295" i="2" s="1"/>
  <c r="G1296" i="2" s="1"/>
  <c r="G1297" i="2" s="1"/>
  <c r="G1298" i="2" s="1"/>
  <c r="G1299" i="2" s="1"/>
  <c r="G1300" i="2" s="1"/>
  <c r="G1301" i="2" s="1"/>
  <c r="G1302" i="2" s="1"/>
  <c r="G1303" i="2" s="1"/>
  <c r="G1304" i="2" s="1"/>
  <c r="G1305" i="2" s="1"/>
  <c r="G1306" i="2" s="1"/>
  <c r="G1307" i="2" s="1"/>
  <c r="G1308" i="2" s="1"/>
  <c r="G1309" i="2" s="1"/>
  <c r="G1310" i="2" s="1"/>
  <c r="G1311" i="2" s="1"/>
  <c r="G1312" i="2" s="1"/>
  <c r="G1313" i="2" s="1"/>
  <c r="G1314" i="2" s="1"/>
  <c r="G1315" i="2" s="1"/>
  <c r="G1316" i="2" s="1"/>
  <c r="G1317" i="2" s="1"/>
  <c r="G1318" i="2" s="1"/>
  <c r="G1319" i="2" s="1"/>
  <c r="G1320" i="2" s="1"/>
  <c r="G1321" i="2" s="1"/>
  <c r="G1322" i="2" s="1"/>
  <c r="G1323" i="2" s="1"/>
  <c r="G1324" i="2" s="1"/>
  <c r="G1325" i="2" s="1"/>
  <c r="G1326" i="2" s="1"/>
  <c r="G1327" i="2" s="1"/>
  <c r="G1328" i="2" s="1"/>
  <c r="G1329" i="2" s="1"/>
  <c r="G1330" i="2" s="1"/>
  <c r="G1331" i="2" s="1"/>
  <c r="G1332" i="2" s="1"/>
  <c r="G1333" i="2" s="1"/>
  <c r="G1334" i="2" s="1"/>
  <c r="G1335" i="2" s="1"/>
  <c r="G1336" i="2" s="1"/>
  <c r="G1337" i="2" s="1"/>
  <c r="G1338" i="2" s="1"/>
  <c r="G1339" i="2" s="1"/>
  <c r="G1340" i="2" s="1"/>
  <c r="G1341" i="2" s="1"/>
  <c r="G1342" i="2" s="1"/>
  <c r="G1343" i="2" s="1"/>
  <c r="G1344" i="2" s="1"/>
  <c r="G1345" i="2" s="1"/>
  <c r="G1346" i="2" s="1"/>
  <c r="G1347" i="2" s="1"/>
  <c r="G1348" i="2" s="1"/>
  <c r="G1349" i="2" s="1"/>
  <c r="G1350" i="2" s="1"/>
  <c r="G1351" i="2" s="1"/>
  <c r="G1352" i="2" s="1"/>
  <c r="G1353" i="2" s="1"/>
  <c r="G1354" i="2" s="1"/>
  <c r="G1355" i="2" s="1"/>
  <c r="G1356" i="2" s="1"/>
  <c r="G1357" i="2" s="1"/>
  <c r="G1358" i="2" s="1"/>
  <c r="G1359" i="2" s="1"/>
  <c r="G1360" i="2" s="1"/>
  <c r="G1361" i="2" s="1"/>
  <c r="G1362" i="2" s="1"/>
  <c r="G1363" i="2" s="1"/>
  <c r="G1364" i="2" s="1"/>
  <c r="G1365" i="2" s="1"/>
  <c r="G1366" i="2" s="1"/>
  <c r="G1367" i="2" s="1"/>
  <c r="G1368" i="2" s="1"/>
  <c r="G1369" i="2" s="1"/>
  <c r="G1370" i="2" s="1"/>
  <c r="G1371" i="2" s="1"/>
  <c r="G1372" i="2" s="1"/>
  <c r="G1373" i="2" s="1"/>
  <c r="G1374" i="2" s="1"/>
  <c r="G1375" i="2" s="1"/>
  <c r="G1376" i="2" s="1"/>
  <c r="G1377" i="2" s="1"/>
  <c r="G1378" i="2" s="1"/>
  <c r="G1379" i="2" s="1"/>
  <c r="G1380" i="2" s="1"/>
  <c r="G1381" i="2" s="1"/>
  <c r="G1382" i="2" s="1"/>
  <c r="G1383" i="2" s="1"/>
  <c r="G1384" i="2" s="1"/>
  <c r="G1385" i="2" s="1"/>
  <c r="G1386" i="2" s="1"/>
  <c r="G1387" i="2" s="1"/>
  <c r="G1388" i="2" s="1"/>
  <c r="G1389" i="2" s="1"/>
  <c r="G1390" i="2" s="1"/>
  <c r="G1391" i="2" s="1"/>
  <c r="G1392" i="2" s="1"/>
  <c r="G1393" i="2" s="1"/>
  <c r="G1394" i="2" s="1"/>
  <c r="G1395" i="2" s="1"/>
  <c r="G1396" i="2" s="1"/>
  <c r="G1397" i="2" s="1"/>
  <c r="G1398" i="2" s="1"/>
  <c r="G1399" i="2" s="1"/>
  <c r="G1400" i="2" s="1"/>
  <c r="G1401" i="2" s="1"/>
  <c r="G1402" i="2" s="1"/>
  <c r="G1403" i="2" s="1"/>
  <c r="G1404" i="2" s="1"/>
  <c r="G1405" i="2" s="1"/>
  <c r="G1406" i="2" s="1"/>
  <c r="G1407" i="2" s="1"/>
  <c r="G1408" i="2" s="1"/>
  <c r="G1409" i="2" s="1"/>
  <c r="G1410" i="2" s="1"/>
  <c r="G1411" i="2" s="1"/>
  <c r="G1412" i="2" s="1"/>
  <c r="G1413" i="2" s="1"/>
  <c r="G1414" i="2" s="1"/>
  <c r="G1415" i="2" s="1"/>
  <c r="G1416" i="2" s="1"/>
  <c r="G1417" i="2" s="1"/>
  <c r="G1418" i="2" s="1"/>
  <c r="G1419" i="2" s="1"/>
  <c r="G1420" i="2" s="1"/>
  <c r="G1421" i="2" s="1"/>
  <c r="G1422" i="2" s="1"/>
  <c r="G1423" i="2" s="1"/>
  <c r="G1424" i="2" s="1"/>
  <c r="G1425" i="2" s="1"/>
  <c r="G1426" i="2" s="1"/>
  <c r="G1427" i="2" s="1"/>
  <c r="G1428" i="2" s="1"/>
  <c r="G1429" i="2" s="1"/>
  <c r="G1430" i="2" s="1"/>
  <c r="G1431" i="2" s="1"/>
  <c r="G1432" i="2" s="1"/>
  <c r="G1433" i="2" s="1"/>
  <c r="G1434" i="2" s="1"/>
  <c r="G1435" i="2" s="1"/>
  <c r="G1436" i="2" s="1"/>
  <c r="G1437" i="2" s="1"/>
  <c r="G1438" i="2" s="1"/>
  <c r="G1439" i="2" s="1"/>
  <c r="G1440" i="2" s="1"/>
  <c r="G1441" i="2" s="1"/>
  <c r="G1442" i="2" s="1"/>
  <c r="G1443" i="2" s="1"/>
  <c r="G1444" i="2" s="1"/>
  <c r="G1445" i="2" s="1"/>
  <c r="G1446" i="2" s="1"/>
  <c r="G1447" i="2" s="1"/>
  <c r="G1448" i="2" s="1"/>
  <c r="G1449" i="2" s="1"/>
  <c r="G1450" i="2" s="1"/>
  <c r="G1451" i="2" s="1"/>
  <c r="G1452" i="2" s="1"/>
  <c r="G1453" i="2" s="1"/>
  <c r="G1454" i="2" s="1"/>
  <c r="G1455" i="2" s="1"/>
  <c r="G1456" i="2" s="1"/>
  <c r="G1457" i="2" s="1"/>
  <c r="G1458" i="2" s="1"/>
  <c r="G1459" i="2" s="1"/>
  <c r="G1460" i="2" s="1"/>
  <c r="G1461" i="2" s="1"/>
  <c r="G1462" i="2" s="1"/>
  <c r="G1463" i="2" s="1"/>
  <c r="G1464" i="2" s="1"/>
  <c r="G1465" i="2" s="1"/>
  <c r="G1466" i="2" s="1"/>
  <c r="G1467" i="2" s="1"/>
  <c r="G1468" i="2" s="1"/>
  <c r="G1469" i="2" s="1"/>
  <c r="G1470" i="2" s="1"/>
  <c r="G1471" i="2" s="1"/>
  <c r="G1472" i="2" s="1"/>
  <c r="G1473" i="2" s="1"/>
  <c r="G1474" i="2" s="1"/>
  <c r="G1475" i="2" s="1"/>
  <c r="G1476" i="2" s="1"/>
  <c r="G1477" i="2" s="1"/>
  <c r="G1478" i="2" s="1"/>
  <c r="G1479" i="2" s="1"/>
  <c r="G1480" i="2" s="1"/>
  <c r="G1481" i="2" s="1"/>
  <c r="G1482" i="2" s="1"/>
  <c r="G1483" i="2" s="1"/>
  <c r="G1484" i="2" s="1"/>
  <c r="G1485" i="2" s="1"/>
  <c r="G1486" i="2" s="1"/>
  <c r="G1487" i="2" s="1"/>
  <c r="G1488" i="2" s="1"/>
  <c r="G1489" i="2" s="1"/>
  <c r="G1490" i="2" s="1"/>
  <c r="G1491" i="2" s="1"/>
  <c r="G1492" i="2" s="1"/>
  <c r="G1493" i="2" s="1"/>
  <c r="G1494" i="2" s="1"/>
  <c r="G1495" i="2" s="1"/>
  <c r="G1496" i="2" s="1"/>
  <c r="G1497" i="2" s="1"/>
  <c r="G1498" i="2" s="1"/>
  <c r="G1499" i="2" s="1"/>
  <c r="G1500" i="2" s="1"/>
  <c r="G1501" i="2" s="1"/>
  <c r="G1502" i="2" s="1"/>
  <c r="G1503" i="2" s="1"/>
  <c r="G1504" i="2" s="1"/>
  <c r="G1505" i="2" s="1"/>
  <c r="G1506" i="2" s="1"/>
  <c r="G1507" i="2" s="1"/>
  <c r="G1508" i="2" s="1"/>
  <c r="G1509" i="2" s="1"/>
  <c r="G1510" i="2" s="1"/>
  <c r="G1511" i="2" s="1"/>
  <c r="G1512" i="2" s="1"/>
  <c r="G1513" i="2" s="1"/>
  <c r="G1514" i="2" s="1"/>
  <c r="G1515" i="2" s="1"/>
  <c r="G1516" i="2" s="1"/>
  <c r="G1517" i="2" s="1"/>
  <c r="G1518" i="2" s="1"/>
  <c r="G1519" i="2" s="1"/>
  <c r="G1520" i="2" s="1"/>
  <c r="G1521" i="2" s="1"/>
  <c r="G1522" i="2" s="1"/>
  <c r="G1523" i="2" s="1"/>
  <c r="G1524" i="2" s="1"/>
  <c r="G1525" i="2" s="1"/>
  <c r="G1526" i="2" s="1"/>
  <c r="G1527" i="2" s="1"/>
  <c r="G1528" i="2" s="1"/>
  <c r="G1529" i="2" s="1"/>
  <c r="G1530" i="2" s="1"/>
  <c r="G1531" i="2" s="1"/>
  <c r="G1532" i="2" s="1"/>
  <c r="G1533" i="2" s="1"/>
  <c r="G1534" i="2" s="1"/>
  <c r="G1535" i="2" s="1"/>
  <c r="G1536" i="2" s="1"/>
  <c r="G1537" i="2" s="1"/>
  <c r="G1538" i="2" s="1"/>
  <c r="G1539" i="2" s="1"/>
  <c r="G1540" i="2" s="1"/>
  <c r="G1541" i="2" s="1"/>
  <c r="G1542" i="2" s="1"/>
  <c r="G1543" i="2" s="1"/>
  <c r="G1544" i="2" s="1"/>
  <c r="G1545" i="2" s="1"/>
  <c r="G1546" i="2" s="1"/>
  <c r="G1547" i="2" s="1"/>
  <c r="G1548" i="2" s="1"/>
  <c r="G1549" i="2" s="1"/>
  <c r="G1550" i="2" s="1"/>
  <c r="G1551" i="2" s="1"/>
  <c r="G1552" i="2" s="1"/>
  <c r="G1553" i="2" s="1"/>
  <c r="G1554" i="2" s="1"/>
  <c r="G1555" i="2" s="1"/>
  <c r="G1556" i="2" s="1"/>
  <c r="G1557" i="2" s="1"/>
  <c r="G1558" i="2" s="1"/>
  <c r="G1559" i="2" s="1"/>
  <c r="G1560" i="2" s="1"/>
  <c r="G1561" i="2" s="1"/>
  <c r="G1562" i="2" s="1"/>
  <c r="G1563" i="2" s="1"/>
  <c r="G1564" i="2" s="1"/>
  <c r="G1565" i="2" s="1"/>
  <c r="G1566" i="2" s="1"/>
  <c r="G1567" i="2" s="1"/>
  <c r="G1568" i="2" s="1"/>
  <c r="G1569" i="2" s="1"/>
  <c r="G1570" i="2" s="1"/>
  <c r="G1571" i="2" s="1"/>
  <c r="G1572" i="2" s="1"/>
  <c r="G1573" i="2" s="1"/>
  <c r="G1574" i="2" s="1"/>
  <c r="G1575" i="2" s="1"/>
  <c r="G1576" i="2" s="1"/>
  <c r="G1577" i="2" s="1"/>
  <c r="G1578" i="2" s="1"/>
  <c r="G1579" i="2" s="1"/>
  <c r="G1580" i="2" s="1"/>
  <c r="G1581" i="2" s="1"/>
  <c r="G1582" i="2" s="1"/>
  <c r="G1583" i="2" s="1"/>
  <c r="G1584" i="2" s="1"/>
  <c r="G1585" i="2" s="1"/>
  <c r="G1586" i="2" s="1"/>
  <c r="G1587" i="2" s="1"/>
  <c r="G1588" i="2" s="1"/>
  <c r="G1589" i="2" s="1"/>
  <c r="G1590" i="2" s="1"/>
  <c r="G1591" i="2" s="1"/>
  <c r="G1592" i="2" s="1"/>
  <c r="G1593" i="2" s="1"/>
  <c r="G1594" i="2" s="1"/>
  <c r="G1595" i="2" s="1"/>
  <c r="G1596" i="2" s="1"/>
  <c r="G1597" i="2" s="1"/>
  <c r="G1598" i="2" s="1"/>
  <c r="G1599" i="2" s="1"/>
  <c r="G1600" i="2" s="1"/>
  <c r="G1601" i="2" s="1"/>
  <c r="G1602" i="2" s="1"/>
  <c r="G1603" i="2" s="1"/>
  <c r="G1604" i="2" s="1"/>
  <c r="G1605" i="2" s="1"/>
  <c r="G1606" i="2" s="1"/>
  <c r="G1607" i="2" s="1"/>
  <c r="G1608" i="2" s="1"/>
  <c r="G1609" i="2" s="1"/>
  <c r="G1610" i="2" s="1"/>
  <c r="G1611" i="2" s="1"/>
  <c r="G1612" i="2" s="1"/>
  <c r="G1613" i="2" s="1"/>
  <c r="G1614" i="2" s="1"/>
  <c r="G1615" i="2" s="1"/>
  <c r="G1616" i="2" s="1"/>
  <c r="G1617" i="2" s="1"/>
  <c r="G1618" i="2" s="1"/>
  <c r="G1619" i="2" s="1"/>
  <c r="G1620" i="2" s="1"/>
  <c r="G1621" i="2" s="1"/>
  <c r="G1622" i="2" s="1"/>
  <c r="G1623" i="2" s="1"/>
  <c r="G1624" i="2" s="1"/>
  <c r="G1625" i="2" s="1"/>
  <c r="G1626" i="2" s="1"/>
  <c r="G1627" i="2" s="1"/>
  <c r="G1628" i="2" s="1"/>
  <c r="G1629" i="2" s="1"/>
  <c r="G1630" i="2" s="1"/>
  <c r="G1631" i="2" s="1"/>
  <c r="G1632" i="2" s="1"/>
  <c r="G1633" i="2" s="1"/>
  <c r="G1634" i="2" s="1"/>
  <c r="G1635" i="2" s="1"/>
  <c r="G1636" i="2" s="1"/>
  <c r="G1637" i="2" s="1"/>
  <c r="G1638" i="2" s="1"/>
  <c r="G1639" i="2" s="1"/>
  <c r="G1640" i="2" s="1"/>
  <c r="G1641" i="2" s="1"/>
  <c r="G1642" i="2" s="1"/>
  <c r="G1643" i="2" s="1"/>
  <c r="G1644" i="2" s="1"/>
  <c r="G1645" i="2" s="1"/>
  <c r="G1646" i="2" s="1"/>
  <c r="G1647" i="2" s="1"/>
  <c r="G1648" i="2" s="1"/>
  <c r="G1649" i="2" s="1"/>
  <c r="G1650" i="2" s="1"/>
  <c r="G1651" i="2" s="1"/>
  <c r="G1652" i="2" s="1"/>
  <c r="G1653" i="2" s="1"/>
  <c r="G1654" i="2" s="1"/>
  <c r="G1655" i="2" s="1"/>
  <c r="G1656" i="2" s="1"/>
  <c r="G1657" i="2" s="1"/>
  <c r="G1658" i="2" s="1"/>
  <c r="G1659" i="2" s="1"/>
  <c r="G1660" i="2" s="1"/>
  <c r="G1661" i="2" s="1"/>
  <c r="G1662" i="2" s="1"/>
  <c r="G1663" i="2" s="1"/>
  <c r="G1664" i="2" s="1"/>
  <c r="G1665" i="2" s="1"/>
  <c r="G1666" i="2" s="1"/>
  <c r="G1667" i="2" s="1"/>
  <c r="G1668" i="2" s="1"/>
  <c r="G1669" i="2" s="1"/>
  <c r="G1670" i="2" s="1"/>
  <c r="G1671" i="2" s="1"/>
  <c r="G1672" i="2" s="1"/>
  <c r="G1673" i="2" s="1"/>
  <c r="G1674" i="2" s="1"/>
  <c r="G1675" i="2" s="1"/>
  <c r="G1676" i="2" s="1"/>
  <c r="G1677" i="2" s="1"/>
  <c r="G1678" i="2" s="1"/>
  <c r="G1679" i="2" s="1"/>
  <c r="G1680" i="2" s="1"/>
  <c r="G1681" i="2" s="1"/>
  <c r="G1682" i="2" s="1"/>
  <c r="G1683" i="2" s="1"/>
  <c r="G1684" i="2" s="1"/>
  <c r="G1685" i="2" s="1"/>
  <c r="G1686" i="2" s="1"/>
  <c r="G1687" i="2" s="1"/>
  <c r="G1688" i="2" s="1"/>
  <c r="G1689" i="2" s="1"/>
  <c r="G1690" i="2" s="1"/>
  <c r="G1691" i="2" s="1"/>
  <c r="G1692" i="2" s="1"/>
  <c r="G1693" i="2" s="1"/>
  <c r="G1694" i="2" s="1"/>
  <c r="G1695" i="2" s="1"/>
  <c r="G1696" i="2" s="1"/>
  <c r="G1697" i="2" s="1"/>
  <c r="G1698" i="2" s="1"/>
  <c r="G1699" i="2" s="1"/>
  <c r="G1700" i="2" s="1"/>
  <c r="G1701" i="2" s="1"/>
  <c r="G1702" i="2" s="1"/>
  <c r="G1703" i="2" s="1"/>
  <c r="G1704" i="2" s="1"/>
  <c r="G1705" i="2" s="1"/>
  <c r="G1706" i="2" s="1"/>
  <c r="G1707" i="2" s="1"/>
  <c r="G1708" i="2" s="1"/>
  <c r="G1709" i="2" s="1"/>
  <c r="G1710" i="2" s="1"/>
  <c r="G1711" i="2" s="1"/>
  <c r="G1712" i="2" s="1"/>
  <c r="G1713" i="2" s="1"/>
  <c r="G1714" i="2" s="1"/>
  <c r="G1715" i="2" s="1"/>
  <c r="G1716" i="2" s="1"/>
  <c r="G1717" i="2" s="1"/>
  <c r="G1718" i="2" s="1"/>
  <c r="G1719" i="2" s="1"/>
  <c r="G1720" i="2" s="1"/>
  <c r="G1721" i="2" s="1"/>
  <c r="G1722" i="2" s="1"/>
  <c r="G1723" i="2" s="1"/>
  <c r="G1724" i="2" s="1"/>
  <c r="G1725" i="2" s="1"/>
  <c r="G1726" i="2" s="1"/>
  <c r="G1727" i="2" s="1"/>
  <c r="G1728" i="2" s="1"/>
  <c r="G1729" i="2" s="1"/>
  <c r="G1730" i="2" s="1"/>
  <c r="G1731" i="2" s="1"/>
  <c r="G1732" i="2" s="1"/>
  <c r="G1733" i="2" s="1"/>
  <c r="G1734" i="2" s="1"/>
  <c r="G1735" i="2" s="1"/>
  <c r="G1736" i="2" s="1"/>
  <c r="G1737" i="2" s="1"/>
  <c r="G1738" i="2" s="1"/>
  <c r="G1739" i="2" s="1"/>
  <c r="G1740" i="2" s="1"/>
  <c r="G1741" i="2" s="1"/>
  <c r="G1742" i="2" s="1"/>
  <c r="G1743" i="2" s="1"/>
  <c r="G1744" i="2" s="1"/>
  <c r="G1745" i="2" s="1"/>
  <c r="G1746" i="2" s="1"/>
  <c r="G1747" i="2" s="1"/>
  <c r="G1748" i="2" s="1"/>
  <c r="G1749" i="2" s="1"/>
  <c r="G1750" i="2" s="1"/>
  <c r="G1751" i="2" s="1"/>
  <c r="G1752" i="2" s="1"/>
  <c r="G1753" i="2" s="1"/>
  <c r="G1754" i="2" s="1"/>
  <c r="G1755" i="2" s="1"/>
  <c r="G1756" i="2" s="1"/>
  <c r="G1757" i="2" s="1"/>
  <c r="G1758" i="2" s="1"/>
  <c r="G1759" i="2" s="1"/>
  <c r="G1760" i="2" s="1"/>
  <c r="G1761" i="2" s="1"/>
  <c r="G1762" i="2" s="1"/>
  <c r="G1763" i="2" s="1"/>
  <c r="G1764" i="2" s="1"/>
  <c r="G1765" i="2" s="1"/>
  <c r="G1766" i="2" s="1"/>
  <c r="G1767" i="2" s="1"/>
  <c r="G1768" i="2" s="1"/>
  <c r="G1769" i="2" s="1"/>
  <c r="G1770" i="2" s="1"/>
  <c r="G1771" i="2" s="1"/>
  <c r="G1772" i="2" s="1"/>
  <c r="G1773" i="2" s="1"/>
  <c r="G1774" i="2" s="1"/>
  <c r="G1775" i="2" s="1"/>
  <c r="G1776" i="2" s="1"/>
  <c r="G1777" i="2" s="1"/>
  <c r="G1778" i="2" s="1"/>
  <c r="G1779" i="2" s="1"/>
  <c r="G1780" i="2" s="1"/>
  <c r="G1781" i="2" s="1"/>
  <c r="G1782" i="2" s="1"/>
  <c r="G1783" i="2" s="1"/>
  <c r="G1784" i="2" s="1"/>
  <c r="G1785" i="2" s="1"/>
  <c r="G1786" i="2" s="1"/>
  <c r="G1787" i="2" s="1"/>
  <c r="G1788" i="2" s="1"/>
  <c r="G1789" i="2" s="1"/>
  <c r="G1790" i="2" s="1"/>
  <c r="G1791" i="2" s="1"/>
  <c r="G1792" i="2" s="1"/>
  <c r="G1793" i="2" s="1"/>
  <c r="G1794" i="2" s="1"/>
  <c r="G1795" i="2" s="1"/>
  <c r="G1796" i="2" s="1"/>
  <c r="G1797" i="2" s="1"/>
  <c r="G1798" i="2" s="1"/>
  <c r="G1799" i="2" s="1"/>
  <c r="G1800" i="2" s="1"/>
  <c r="G1801" i="2" s="1"/>
  <c r="G1802" i="2" s="1"/>
  <c r="G1803" i="2" s="1"/>
  <c r="G1804" i="2" s="1"/>
  <c r="G1805" i="2" s="1"/>
  <c r="G1806" i="2" s="1"/>
  <c r="G1807" i="2" s="1"/>
  <c r="G1808" i="2" s="1"/>
  <c r="G1809" i="2" s="1"/>
  <c r="G1810" i="2" s="1"/>
  <c r="G1811" i="2" s="1"/>
  <c r="G1812" i="2" s="1"/>
  <c r="G1813" i="2" s="1"/>
  <c r="G1814" i="2" s="1"/>
  <c r="G1815" i="2" s="1"/>
  <c r="G1816" i="2" s="1"/>
  <c r="G1817" i="2" s="1"/>
  <c r="G1818" i="2" s="1"/>
  <c r="G1819" i="2" s="1"/>
  <c r="G1820" i="2" s="1"/>
  <c r="G1821" i="2" s="1"/>
  <c r="G1822" i="2" s="1"/>
  <c r="G1823" i="2" s="1"/>
  <c r="G1824" i="2" s="1"/>
  <c r="G1825" i="2" s="1"/>
  <c r="G1826" i="2" s="1"/>
  <c r="G1827" i="2" s="1"/>
  <c r="G1828" i="2" s="1"/>
  <c r="G1829" i="2" s="1"/>
  <c r="G1830" i="2" s="1"/>
  <c r="G1831" i="2" s="1"/>
  <c r="G1832" i="2" s="1"/>
  <c r="G1833" i="2" s="1"/>
  <c r="G1834" i="2" s="1"/>
  <c r="G1835" i="2" s="1"/>
  <c r="G1836" i="2" s="1"/>
  <c r="G1837" i="2" s="1"/>
  <c r="G1838" i="2" s="1"/>
  <c r="G1839" i="2" s="1"/>
  <c r="G1840" i="2" s="1"/>
  <c r="G1841" i="2" s="1"/>
  <c r="G1842" i="2" s="1"/>
  <c r="G1843" i="2" s="1"/>
  <c r="G1844" i="2" s="1"/>
  <c r="G1845" i="2" s="1"/>
  <c r="G1846" i="2" s="1"/>
  <c r="G1847" i="2" s="1"/>
  <c r="G1848" i="2" s="1"/>
  <c r="G1849" i="2" s="1"/>
  <c r="G1850" i="2" s="1"/>
  <c r="G1851" i="2" s="1"/>
  <c r="G1852" i="2" s="1"/>
  <c r="G1853" i="2" s="1"/>
  <c r="G1854" i="2" s="1"/>
  <c r="G1855" i="2" s="1"/>
  <c r="G1856" i="2" s="1"/>
  <c r="G1857" i="2" s="1"/>
  <c r="G1858" i="2" s="1"/>
  <c r="G1859" i="2" s="1"/>
  <c r="G1860" i="2" s="1"/>
  <c r="G1861" i="2" s="1"/>
  <c r="G1862" i="2" s="1"/>
  <c r="G1863" i="2" s="1"/>
  <c r="G1864" i="2" s="1"/>
  <c r="G1865" i="2" s="1"/>
  <c r="G1866" i="2" s="1"/>
  <c r="G1867" i="2" s="1"/>
  <c r="G1868" i="2" s="1"/>
  <c r="G1869" i="2" s="1"/>
  <c r="G1870" i="2" s="1"/>
  <c r="G1871" i="2" s="1"/>
  <c r="G1872" i="2" s="1"/>
  <c r="G1873" i="2" s="1"/>
  <c r="G1874" i="2" s="1"/>
  <c r="G1875" i="2" s="1"/>
  <c r="G1876" i="2" s="1"/>
  <c r="G1877" i="2" s="1"/>
  <c r="G1878" i="2" s="1"/>
  <c r="G1879" i="2" s="1"/>
  <c r="G1880" i="2" s="1"/>
  <c r="G1881" i="2" s="1"/>
  <c r="G1882" i="2" s="1"/>
  <c r="G1883" i="2" s="1"/>
  <c r="G1884" i="2" s="1"/>
  <c r="G1885" i="2" s="1"/>
  <c r="G1886" i="2" s="1"/>
  <c r="G1887" i="2" s="1"/>
  <c r="G1888" i="2" s="1"/>
  <c r="G1889" i="2" s="1"/>
  <c r="G1890" i="2" s="1"/>
  <c r="G1891" i="2" s="1"/>
  <c r="G1892" i="2" s="1"/>
  <c r="G1893" i="2" s="1"/>
  <c r="G1894" i="2" s="1"/>
  <c r="G1895" i="2" s="1"/>
  <c r="G1896" i="2" s="1"/>
  <c r="G1897" i="2" s="1"/>
  <c r="G1898" i="2" s="1"/>
  <c r="G1899" i="2" s="1"/>
  <c r="G1900" i="2" s="1"/>
  <c r="G1901" i="2" s="1"/>
  <c r="G1902" i="2" s="1"/>
  <c r="G1903" i="2" s="1"/>
  <c r="G1904" i="2" s="1"/>
  <c r="G1905" i="2" s="1"/>
  <c r="G1906" i="2" s="1"/>
  <c r="G1907" i="2" s="1"/>
  <c r="G1908" i="2" s="1"/>
  <c r="G1909" i="2" s="1"/>
  <c r="G1910" i="2" s="1"/>
  <c r="G1911" i="2" s="1"/>
  <c r="G1912" i="2" s="1"/>
  <c r="G1913" i="2" s="1"/>
  <c r="G1914" i="2" s="1"/>
  <c r="G1915" i="2" s="1"/>
  <c r="G1916" i="2" s="1"/>
  <c r="G1917" i="2" s="1"/>
  <c r="G1918" i="2" s="1"/>
  <c r="G1919" i="2" s="1"/>
  <c r="G1920" i="2" s="1"/>
  <c r="G1921" i="2" s="1"/>
  <c r="G1922" i="2" s="1"/>
  <c r="G1923" i="2" s="1"/>
  <c r="G1924" i="2" s="1"/>
  <c r="G1925" i="2" s="1"/>
  <c r="G1926" i="2" s="1"/>
  <c r="G1927" i="2" s="1"/>
  <c r="G1928" i="2" s="1"/>
  <c r="G1929" i="2" s="1"/>
  <c r="G1930" i="2" s="1"/>
  <c r="G1931" i="2" s="1"/>
  <c r="G1932" i="2" s="1"/>
  <c r="G1933" i="2" s="1"/>
  <c r="G1934" i="2" s="1"/>
  <c r="G1935" i="2" s="1"/>
  <c r="G1936" i="2" s="1"/>
  <c r="G1937" i="2" s="1"/>
  <c r="G1938" i="2" s="1"/>
  <c r="G1939" i="2" s="1"/>
  <c r="G1940" i="2" s="1"/>
  <c r="G1941" i="2" s="1"/>
  <c r="G1942" i="2" s="1"/>
  <c r="G1943" i="2" s="1"/>
  <c r="G1944" i="2" s="1"/>
  <c r="G1945" i="2" s="1"/>
  <c r="G1946" i="2" s="1"/>
  <c r="G1947" i="2" s="1"/>
  <c r="G1948" i="2" s="1"/>
  <c r="G1949" i="2" s="1"/>
  <c r="G1950" i="2" s="1"/>
  <c r="G1951" i="2" s="1"/>
  <c r="G1952" i="2" s="1"/>
  <c r="G1953" i="2" s="1"/>
  <c r="G1954" i="2" s="1"/>
  <c r="G1955" i="2" s="1"/>
  <c r="G1956" i="2" s="1"/>
  <c r="G1957" i="2" s="1"/>
  <c r="G1958" i="2" s="1"/>
  <c r="G1959" i="2" s="1"/>
  <c r="G1960" i="2" s="1"/>
  <c r="G1961" i="2" s="1"/>
  <c r="G1962" i="2" s="1"/>
  <c r="G1963" i="2" s="1"/>
  <c r="G1964" i="2" s="1"/>
  <c r="G1965" i="2" s="1"/>
  <c r="G1966" i="2" s="1"/>
  <c r="G1967" i="2" s="1"/>
  <c r="G1968" i="2" s="1"/>
  <c r="G1969" i="2" s="1"/>
  <c r="G1970" i="2" s="1"/>
  <c r="G1971" i="2" s="1"/>
  <c r="G1972" i="2" s="1"/>
  <c r="G1973" i="2" s="1"/>
  <c r="G1974" i="2" s="1"/>
  <c r="G1975" i="2" s="1"/>
  <c r="G1976" i="2" s="1"/>
  <c r="G1977" i="2" s="1"/>
  <c r="G1978" i="2" s="1"/>
  <c r="G1979" i="2" s="1"/>
  <c r="G1980" i="2" s="1"/>
  <c r="G1981" i="2" s="1"/>
  <c r="G1982" i="2" s="1"/>
  <c r="G1983" i="2" s="1"/>
  <c r="G1984" i="2" s="1"/>
  <c r="G1985" i="2" s="1"/>
  <c r="G1986" i="2" s="1"/>
  <c r="G1987" i="2" s="1"/>
  <c r="G1988" i="2" s="1"/>
  <c r="G1989" i="2" s="1"/>
  <c r="G1990" i="2" s="1"/>
  <c r="G1991" i="2" s="1"/>
  <c r="G1992" i="2" s="1"/>
  <c r="G1993" i="2" s="1"/>
  <c r="G1994" i="2" s="1"/>
  <c r="G1995" i="2" s="1"/>
  <c r="G1996" i="2" s="1"/>
  <c r="G1997" i="2" s="1"/>
  <c r="G1998" i="2" s="1"/>
  <c r="G1999" i="2" s="1"/>
  <c r="G2000" i="2" s="1"/>
  <c r="G2001" i="2" s="1"/>
  <c r="G2002" i="2" s="1"/>
  <c r="G2003" i="2" s="1"/>
  <c r="G2004" i="2" s="1"/>
  <c r="G2005" i="2" s="1"/>
  <c r="G2006" i="2" s="1"/>
  <c r="G2007" i="2" s="1"/>
  <c r="G2008" i="2" s="1"/>
  <c r="G2009" i="2" s="1"/>
  <c r="G2010" i="2" s="1"/>
  <c r="G2011" i="2" s="1"/>
  <c r="G2012" i="2" s="1"/>
  <c r="G2013" i="2" s="1"/>
  <c r="G2014" i="2" s="1"/>
  <c r="G2015" i="2" s="1"/>
  <c r="G2016" i="2" s="1"/>
  <c r="G2017" i="2" s="1"/>
  <c r="G2018" i="2" s="1"/>
  <c r="G2019" i="2" s="1"/>
  <c r="G2020" i="2" s="1"/>
  <c r="G2021" i="2" s="1"/>
  <c r="G2022" i="2" s="1"/>
  <c r="G2023" i="2" s="1"/>
  <c r="G2024" i="2" s="1"/>
  <c r="G2025" i="2" s="1"/>
  <c r="G2026" i="2" s="1"/>
  <c r="G2027" i="2" s="1"/>
  <c r="G2028" i="2" s="1"/>
  <c r="G2029" i="2" s="1"/>
  <c r="G2030" i="2" s="1"/>
  <c r="G2031" i="2" s="1"/>
  <c r="G2032" i="2" s="1"/>
  <c r="G2033" i="2" s="1"/>
  <c r="G2034" i="2" s="1"/>
  <c r="G2035" i="2" s="1"/>
  <c r="G2036" i="2" s="1"/>
  <c r="G2037" i="2" s="1"/>
  <c r="G2038" i="2" s="1"/>
  <c r="G2039" i="2" s="1"/>
  <c r="G2040" i="2" s="1"/>
  <c r="G2041" i="2" s="1"/>
  <c r="G2042" i="2" s="1"/>
  <c r="G2043" i="2" s="1"/>
  <c r="G2044" i="2" s="1"/>
  <c r="G2045" i="2" s="1"/>
  <c r="G2046" i="2" s="1"/>
  <c r="G2047" i="2" s="1"/>
  <c r="G2048" i="2" s="1"/>
  <c r="G2049" i="2" s="1"/>
  <c r="G2050" i="2" s="1"/>
  <c r="G2051" i="2" s="1"/>
  <c r="G2052" i="2" s="1"/>
  <c r="G2053" i="2" s="1"/>
  <c r="G2054" i="2" s="1"/>
  <c r="G2055" i="2" s="1"/>
  <c r="G2056" i="2" s="1"/>
  <c r="G2057" i="2" s="1"/>
  <c r="G2058" i="2" s="1"/>
  <c r="G2059" i="2" s="1"/>
  <c r="G2060" i="2" s="1"/>
  <c r="G2061" i="2" s="1"/>
  <c r="G2062" i="2" s="1"/>
  <c r="G2063" i="2" s="1"/>
  <c r="G2064" i="2" s="1"/>
  <c r="G2065" i="2" s="1"/>
  <c r="G2066" i="2" s="1"/>
  <c r="G2067" i="2" s="1"/>
  <c r="G2068" i="2" s="1"/>
  <c r="G2069" i="2" s="1"/>
  <c r="G2070" i="2" s="1"/>
  <c r="G2071" i="2" s="1"/>
  <c r="G2072" i="2" s="1"/>
  <c r="G2073" i="2" s="1"/>
  <c r="G2074" i="2" s="1"/>
  <c r="G2075" i="2" s="1"/>
  <c r="G2076" i="2" s="1"/>
  <c r="G2077" i="2" s="1"/>
  <c r="G2078" i="2" s="1"/>
  <c r="G2079" i="2" s="1"/>
  <c r="G2080" i="2" s="1"/>
  <c r="G2081" i="2" s="1"/>
  <c r="G2082" i="2" s="1"/>
  <c r="G2083" i="2" s="1"/>
  <c r="G2084" i="2" s="1"/>
  <c r="G2085" i="2" s="1"/>
  <c r="G2086" i="2" s="1"/>
  <c r="G2087" i="2" s="1"/>
  <c r="G2088" i="2" s="1"/>
  <c r="G2089" i="2" s="1"/>
  <c r="G2090" i="2" s="1"/>
  <c r="G2091" i="2" s="1"/>
  <c r="G2092" i="2" s="1"/>
  <c r="G2093" i="2" s="1"/>
  <c r="G2094" i="2" s="1"/>
  <c r="G2095" i="2" s="1"/>
  <c r="G2096" i="2" s="1"/>
  <c r="G2097" i="2" s="1"/>
  <c r="G2098" i="2" s="1"/>
  <c r="G2099" i="2" s="1"/>
  <c r="G2100" i="2" s="1"/>
  <c r="G2101" i="2" s="1"/>
  <c r="G2102" i="2" s="1"/>
  <c r="G2103" i="2" s="1"/>
  <c r="G2104" i="2" s="1"/>
  <c r="G2105" i="2" s="1"/>
  <c r="G2106" i="2" s="1"/>
  <c r="G2107" i="2" s="1"/>
  <c r="G2108" i="2" s="1"/>
  <c r="G2109" i="2" s="1"/>
  <c r="G2110" i="2" s="1"/>
  <c r="G2111" i="2" s="1"/>
  <c r="G2112" i="2" s="1"/>
  <c r="G2113" i="2" s="1"/>
  <c r="G2114" i="2" s="1"/>
  <c r="G2115" i="2" s="1"/>
  <c r="G2116" i="2" s="1"/>
  <c r="G2117" i="2" s="1"/>
  <c r="G2118" i="2" s="1"/>
  <c r="G2119" i="2" s="1"/>
  <c r="G2120" i="2" s="1"/>
  <c r="G2121" i="2" s="1"/>
  <c r="G2122" i="2" s="1"/>
  <c r="G2123" i="2" s="1"/>
  <c r="G2124" i="2" s="1"/>
  <c r="G2125" i="2" s="1"/>
  <c r="G2126" i="2" s="1"/>
  <c r="G2127" i="2" s="1"/>
  <c r="G2128" i="2" s="1"/>
  <c r="G2129" i="2" s="1"/>
  <c r="G2130" i="2" s="1"/>
  <c r="G2131" i="2" s="1"/>
  <c r="G2132" i="2" s="1"/>
  <c r="G2133" i="2" s="1"/>
  <c r="G2134" i="2" s="1"/>
  <c r="G2135" i="2" s="1"/>
  <c r="G2136" i="2" s="1"/>
  <c r="G2137" i="2" s="1"/>
  <c r="G2138" i="2" s="1"/>
  <c r="G2139" i="2" s="1"/>
  <c r="G2140" i="2" s="1"/>
  <c r="G2141" i="2" s="1"/>
  <c r="G2142" i="2" s="1"/>
  <c r="G2143" i="2" s="1"/>
  <c r="G2144" i="2" s="1"/>
  <c r="G2145" i="2" s="1"/>
  <c r="G2146" i="2" s="1"/>
  <c r="G2147" i="2" s="1"/>
  <c r="G2148" i="2" s="1"/>
  <c r="G2149" i="2" s="1"/>
  <c r="G2150" i="2" s="1"/>
  <c r="G2151" i="2" s="1"/>
  <c r="G2152" i="2" s="1"/>
  <c r="G2153" i="2" s="1"/>
  <c r="G2154" i="2" s="1"/>
  <c r="G2155" i="2" s="1"/>
  <c r="G2156" i="2" s="1"/>
  <c r="G2157" i="2" s="1"/>
  <c r="G2158" i="2" s="1"/>
  <c r="G2159" i="2" s="1"/>
  <c r="G2160" i="2" s="1"/>
  <c r="G2161" i="2" s="1"/>
  <c r="G2162" i="2" s="1"/>
  <c r="G2163" i="2" s="1"/>
  <c r="G2164" i="2" s="1"/>
  <c r="G2165" i="2" s="1"/>
  <c r="G2166" i="2" s="1"/>
  <c r="G2167" i="2" s="1"/>
  <c r="G2168" i="2" s="1"/>
  <c r="G2169" i="2" s="1"/>
  <c r="G2170" i="2" s="1"/>
  <c r="G2171" i="2" s="1"/>
  <c r="G2172" i="2" s="1"/>
  <c r="G2173" i="2" s="1"/>
  <c r="G2174" i="2" s="1"/>
  <c r="G2175" i="2" s="1"/>
  <c r="G2176" i="2" s="1"/>
  <c r="G2177" i="2" s="1"/>
  <c r="G2178" i="2" s="1"/>
  <c r="G2179" i="2" s="1"/>
  <c r="G2180" i="2" s="1"/>
  <c r="G2181" i="2" s="1"/>
  <c r="G2182" i="2" s="1"/>
  <c r="G2183" i="2" s="1"/>
  <c r="G2184" i="2" s="1"/>
  <c r="G2185" i="2" s="1"/>
  <c r="G2186" i="2" s="1"/>
  <c r="G2187" i="2" s="1"/>
  <c r="G2188" i="2" s="1"/>
  <c r="G2189" i="2" s="1"/>
  <c r="G2190" i="2" s="1"/>
  <c r="G2191" i="2" s="1"/>
  <c r="G2192" i="2" s="1"/>
  <c r="G2193" i="2" s="1"/>
  <c r="G2194" i="2" s="1"/>
  <c r="G2195" i="2" s="1"/>
  <c r="G2196" i="2" s="1"/>
  <c r="G2197" i="2" s="1"/>
  <c r="G2198" i="2" s="1"/>
  <c r="G2199" i="2" s="1"/>
  <c r="G2200" i="2" s="1"/>
  <c r="G2201" i="2" s="1"/>
  <c r="G2202" i="2" s="1"/>
  <c r="G2203" i="2" s="1"/>
  <c r="G2204" i="2" s="1"/>
  <c r="G2205" i="2" s="1"/>
  <c r="G2206" i="2" s="1"/>
  <c r="G2207" i="2" s="1"/>
  <c r="G2208" i="2" s="1"/>
  <c r="G2209" i="2" s="1"/>
  <c r="G2210" i="2" s="1"/>
  <c r="G2211" i="2" s="1"/>
  <c r="G2212" i="2" s="1"/>
  <c r="G2213" i="2" s="1"/>
  <c r="G2214" i="2" s="1"/>
  <c r="G2215" i="2" s="1"/>
  <c r="G2216" i="2" s="1"/>
  <c r="G2217" i="2" s="1"/>
  <c r="G2218" i="2" s="1"/>
  <c r="G2219" i="2" s="1"/>
  <c r="G2220" i="2" s="1"/>
  <c r="G2221" i="2" s="1"/>
  <c r="G2222" i="2" s="1"/>
  <c r="G2223" i="2" s="1"/>
  <c r="G2224" i="2" s="1"/>
  <c r="G2225" i="2" s="1"/>
  <c r="G2226" i="2" s="1"/>
  <c r="G2227" i="2" s="1"/>
  <c r="G2228" i="2" s="1"/>
  <c r="G2229" i="2" s="1"/>
  <c r="G2230" i="2" s="1"/>
  <c r="G2231" i="2" s="1"/>
  <c r="G2232" i="2" s="1"/>
  <c r="G2233" i="2" s="1"/>
  <c r="G2234" i="2" s="1"/>
  <c r="G2235" i="2" s="1"/>
  <c r="G2236" i="2" s="1"/>
  <c r="G2237" i="2" s="1"/>
  <c r="G2238" i="2" s="1"/>
  <c r="G2239" i="2" s="1"/>
  <c r="G2240" i="2" s="1"/>
  <c r="G2241" i="2" s="1"/>
  <c r="G2242" i="2" s="1"/>
  <c r="G2243" i="2" s="1"/>
  <c r="G2244" i="2" s="1"/>
  <c r="G2245" i="2" s="1"/>
  <c r="G2246" i="2" s="1"/>
  <c r="G2247" i="2" s="1"/>
  <c r="G2248" i="2" s="1"/>
  <c r="G2249" i="2" s="1"/>
  <c r="G2250" i="2" s="1"/>
  <c r="G2251" i="2" s="1"/>
  <c r="G2252" i="2" s="1"/>
  <c r="G2253" i="2" s="1"/>
  <c r="G2254" i="2" s="1"/>
  <c r="G2255" i="2" s="1"/>
  <c r="G2256" i="2" s="1"/>
  <c r="G2257" i="2" s="1"/>
  <c r="G2258" i="2" s="1"/>
  <c r="G2259" i="2" s="1"/>
  <c r="G2260" i="2" s="1"/>
  <c r="G2261" i="2" s="1"/>
  <c r="G2262" i="2" s="1"/>
  <c r="G2263" i="2" s="1"/>
  <c r="G2264" i="2" s="1"/>
  <c r="G2265" i="2" s="1"/>
  <c r="G2266" i="2" s="1"/>
  <c r="G2267" i="2" s="1"/>
  <c r="G2268" i="2" s="1"/>
  <c r="G2269" i="2" s="1"/>
  <c r="G2270" i="2" s="1"/>
  <c r="G2271" i="2" s="1"/>
  <c r="G2272" i="2" s="1"/>
  <c r="G2273" i="2" s="1"/>
  <c r="G2274" i="2" s="1"/>
  <c r="G2275" i="2" s="1"/>
  <c r="G2276" i="2" s="1"/>
  <c r="G2277" i="2" s="1"/>
  <c r="G2278" i="2" s="1"/>
  <c r="G2279" i="2" s="1"/>
  <c r="G2280" i="2" s="1"/>
  <c r="G2281" i="2" s="1"/>
  <c r="G2282" i="2" s="1"/>
  <c r="G2283" i="2" s="1"/>
  <c r="G2284" i="2" s="1"/>
  <c r="G2285" i="2" s="1"/>
  <c r="G2286" i="2" s="1"/>
  <c r="G2287" i="2" s="1"/>
  <c r="G2288" i="2" s="1"/>
  <c r="G2289" i="2" s="1"/>
  <c r="G2290" i="2" s="1"/>
  <c r="G2291" i="2" s="1"/>
  <c r="G2292" i="2" s="1"/>
  <c r="G2293" i="2" s="1"/>
  <c r="G2294" i="2" s="1"/>
  <c r="G2295" i="2" s="1"/>
  <c r="G2296" i="2" s="1"/>
  <c r="G2297" i="2" s="1"/>
  <c r="G2298" i="2" s="1"/>
  <c r="G2299" i="2" s="1"/>
  <c r="G2300" i="2" s="1"/>
  <c r="G2301" i="2" s="1"/>
  <c r="G2302" i="2" s="1"/>
  <c r="G2303" i="2" s="1"/>
  <c r="G2304" i="2" s="1"/>
  <c r="G2305" i="2" s="1"/>
  <c r="G2306" i="2" s="1"/>
  <c r="G2307" i="2" s="1"/>
  <c r="G2308" i="2" s="1"/>
  <c r="G2309" i="2" s="1"/>
  <c r="G2310" i="2" s="1"/>
  <c r="G2311" i="2" s="1"/>
  <c r="G2312" i="2" s="1"/>
  <c r="G2313" i="2" s="1"/>
  <c r="G2314" i="2" s="1"/>
  <c r="G2315" i="2" s="1"/>
  <c r="G2316" i="2" s="1"/>
  <c r="G2317" i="2" s="1"/>
  <c r="G2318" i="2" s="1"/>
  <c r="G2319" i="2" s="1"/>
  <c r="G2320" i="2" s="1"/>
  <c r="G2321" i="2" s="1"/>
  <c r="G2322" i="2" s="1"/>
  <c r="G2323" i="2" s="1"/>
  <c r="G2324" i="2" s="1"/>
  <c r="G2325" i="2" s="1"/>
  <c r="G2326" i="2" s="1"/>
  <c r="G2327" i="2" s="1"/>
  <c r="G2328" i="2" s="1"/>
  <c r="G2329" i="2" s="1"/>
  <c r="G2330" i="2" s="1"/>
  <c r="G2331" i="2" s="1"/>
  <c r="G2332" i="2" s="1"/>
  <c r="G2333" i="2" s="1"/>
  <c r="G2334" i="2" s="1"/>
  <c r="G2335" i="2" s="1"/>
  <c r="G2336" i="2" s="1"/>
  <c r="G2337" i="2" s="1"/>
  <c r="G2338" i="2" s="1"/>
  <c r="G2339" i="2" s="1"/>
  <c r="G2340" i="2" s="1"/>
  <c r="G2341" i="2" s="1"/>
  <c r="G2342" i="2" s="1"/>
  <c r="G2343" i="2" s="1"/>
  <c r="G2344" i="2" s="1"/>
  <c r="G2345" i="2" s="1"/>
  <c r="G2346" i="2" s="1"/>
  <c r="G2347" i="2" s="1"/>
  <c r="G2348" i="2" s="1"/>
  <c r="G2349" i="2" s="1"/>
  <c r="G2350" i="2" s="1"/>
  <c r="G2351" i="2" s="1"/>
  <c r="G2352" i="2" s="1"/>
  <c r="G2353" i="2" s="1"/>
  <c r="G2354" i="2" s="1"/>
  <c r="G2355" i="2" s="1"/>
  <c r="G2356" i="2" s="1"/>
  <c r="G2357" i="2" s="1"/>
  <c r="G2358" i="2" s="1"/>
  <c r="G2359" i="2" s="1"/>
  <c r="G2360" i="2" s="1"/>
  <c r="G2361" i="2" s="1"/>
  <c r="G2362" i="2" s="1"/>
  <c r="G2363" i="2" s="1"/>
  <c r="G2364" i="2" s="1"/>
  <c r="G2365" i="2" s="1"/>
  <c r="G2366" i="2" s="1"/>
  <c r="G2367" i="2" s="1"/>
  <c r="G2368" i="2" s="1"/>
  <c r="G2369" i="2" s="1"/>
  <c r="G2370" i="2" s="1"/>
  <c r="G2371" i="2" s="1"/>
  <c r="G2372" i="2" s="1"/>
  <c r="G2373" i="2" s="1"/>
  <c r="G2374" i="2" s="1"/>
  <c r="G2375" i="2" s="1"/>
  <c r="G2376" i="2" s="1"/>
  <c r="G2377" i="2" s="1"/>
  <c r="G2378" i="2" s="1"/>
  <c r="G2379" i="2" s="1"/>
  <c r="G2380" i="2" s="1"/>
  <c r="G2381" i="2" s="1"/>
  <c r="G2382" i="2" s="1"/>
  <c r="G2383" i="2" s="1"/>
  <c r="G2384" i="2" s="1"/>
  <c r="G2385" i="2" s="1"/>
  <c r="G2386" i="2" s="1"/>
  <c r="G2387" i="2" s="1"/>
  <c r="G2388" i="2" s="1"/>
  <c r="G2389" i="2" s="1"/>
  <c r="G2390" i="2" s="1"/>
  <c r="G2391" i="2" s="1"/>
  <c r="G2392" i="2" s="1"/>
  <c r="G2393" i="2" s="1"/>
  <c r="G2394" i="2" s="1"/>
  <c r="G2395" i="2" s="1"/>
  <c r="G2396" i="2" s="1"/>
  <c r="G2397" i="2" s="1"/>
  <c r="G2398" i="2" s="1"/>
  <c r="G2399" i="2" s="1"/>
  <c r="G2400" i="2" s="1"/>
  <c r="G2401" i="2" s="1"/>
  <c r="G2402" i="2" s="1"/>
  <c r="G2403" i="2" s="1"/>
  <c r="G2404" i="2" s="1"/>
  <c r="G2405" i="2" s="1"/>
  <c r="G2406" i="2" s="1"/>
  <c r="G2407" i="2" s="1"/>
  <c r="G2408" i="2" s="1"/>
  <c r="G2409" i="2" s="1"/>
  <c r="G2410" i="2" s="1"/>
  <c r="G2411" i="2" s="1"/>
  <c r="G2412" i="2" s="1"/>
  <c r="G2413" i="2" s="1"/>
  <c r="G2414" i="2" s="1"/>
  <c r="G2415" i="2" s="1"/>
  <c r="G2416" i="2" s="1"/>
  <c r="G2417" i="2" s="1"/>
  <c r="G2418" i="2" s="1"/>
  <c r="G2419" i="2" s="1"/>
  <c r="G2420" i="2" s="1"/>
  <c r="G2421" i="2" s="1"/>
  <c r="G2422" i="2" s="1"/>
  <c r="G2423" i="2" s="1"/>
  <c r="G2424" i="2" s="1"/>
  <c r="G2425" i="2" s="1"/>
  <c r="G2426" i="2" s="1"/>
  <c r="G2427" i="2" s="1"/>
  <c r="G2428" i="2" s="1"/>
  <c r="G2429" i="2" s="1"/>
  <c r="G2430" i="2" s="1"/>
  <c r="G2431" i="2" s="1"/>
  <c r="G2432" i="2" s="1"/>
  <c r="G2433" i="2" s="1"/>
  <c r="G2434" i="2" s="1"/>
  <c r="G2435" i="2" s="1"/>
  <c r="G2436" i="2" s="1"/>
  <c r="G2437" i="2" s="1"/>
  <c r="G2438" i="2" s="1"/>
  <c r="G2439" i="2" s="1"/>
  <c r="G2440" i="2" s="1"/>
  <c r="G2441" i="2" s="1"/>
  <c r="G2442" i="2" s="1"/>
  <c r="G2443" i="2" s="1"/>
  <c r="G2444" i="2" s="1"/>
  <c r="G2445" i="2" s="1"/>
  <c r="G2446" i="2" s="1"/>
  <c r="G2447" i="2" s="1"/>
  <c r="G2448" i="2" s="1"/>
  <c r="G2449" i="2" s="1"/>
  <c r="G2450" i="2" s="1"/>
  <c r="G2451" i="2" s="1"/>
  <c r="G2452" i="2" s="1"/>
  <c r="G2453" i="2" s="1"/>
  <c r="G2454" i="2" s="1"/>
  <c r="G2455" i="2" s="1"/>
  <c r="G2456" i="2" s="1"/>
  <c r="G2457" i="2" s="1"/>
  <c r="G2458" i="2" s="1"/>
  <c r="G2459" i="2" s="1"/>
  <c r="G2460" i="2" s="1"/>
  <c r="G2461" i="2" s="1"/>
  <c r="G2462" i="2" s="1"/>
  <c r="G2463" i="2" s="1"/>
  <c r="G2464" i="2" s="1"/>
  <c r="G2465" i="2" s="1"/>
  <c r="G2466" i="2" s="1"/>
  <c r="G2467" i="2" s="1"/>
  <c r="G2468" i="2" s="1"/>
  <c r="G2469" i="2" s="1"/>
  <c r="G2470" i="2" s="1"/>
  <c r="G2471" i="2" s="1"/>
  <c r="G2472" i="2" s="1"/>
  <c r="G2473" i="2" s="1"/>
  <c r="G2474" i="2" s="1"/>
  <c r="G2475" i="2" s="1"/>
  <c r="G2476" i="2" s="1"/>
  <c r="G2477" i="2" s="1"/>
  <c r="G2478" i="2" s="1"/>
  <c r="G2479" i="2" s="1"/>
  <c r="G2480" i="2" s="1"/>
  <c r="G2481" i="2" s="1"/>
  <c r="G2482" i="2" s="1"/>
  <c r="G2483" i="2" s="1"/>
  <c r="G2484" i="2" s="1"/>
  <c r="G2485" i="2" s="1"/>
  <c r="G2486" i="2" s="1"/>
  <c r="G2487" i="2" s="1"/>
  <c r="G2488" i="2" s="1"/>
  <c r="G2489" i="2" s="1"/>
  <c r="G2490" i="2" s="1"/>
  <c r="G2491" i="2" s="1"/>
  <c r="G2492" i="2" s="1"/>
  <c r="G2493" i="2" s="1"/>
  <c r="G2494" i="2" s="1"/>
  <c r="G2495" i="2" s="1"/>
  <c r="G2496" i="2" s="1"/>
  <c r="G2497" i="2" s="1"/>
  <c r="G2498" i="2" s="1"/>
  <c r="G2499" i="2" s="1"/>
  <c r="G2500" i="2" s="1"/>
  <c r="G2501" i="2" s="1"/>
  <c r="G2502" i="2" s="1"/>
  <c r="G2503" i="2" s="1"/>
  <c r="G2504" i="2" s="1"/>
  <c r="G2505" i="2" s="1"/>
  <c r="G2506" i="2" s="1"/>
  <c r="G2507" i="2" s="1"/>
  <c r="G2508" i="2" s="1"/>
  <c r="G2509" i="2" s="1"/>
  <c r="G2510" i="2" s="1"/>
  <c r="G2511" i="2" s="1"/>
  <c r="G2512" i="2" s="1"/>
  <c r="G2513" i="2" s="1"/>
  <c r="G2514" i="2" s="1"/>
  <c r="G2515" i="2" s="1"/>
  <c r="G2516" i="2" s="1"/>
  <c r="G2517" i="2" s="1"/>
  <c r="G2518" i="2" s="1"/>
  <c r="G2519" i="2" s="1"/>
  <c r="G2520" i="2" s="1"/>
  <c r="G2521" i="2" s="1"/>
  <c r="G2522" i="2" s="1"/>
  <c r="G2523" i="2" s="1"/>
  <c r="G2524" i="2" s="1"/>
  <c r="G2525" i="2" s="1"/>
  <c r="G2526" i="2" s="1"/>
  <c r="G2527" i="2" s="1"/>
  <c r="G2528" i="2" s="1"/>
  <c r="G2529" i="2" s="1"/>
  <c r="G2530" i="2" s="1"/>
  <c r="G2531" i="2" s="1"/>
  <c r="G2532" i="2" s="1"/>
  <c r="G2533" i="2" s="1"/>
  <c r="G2534" i="2" s="1"/>
  <c r="G2535" i="2" s="1"/>
  <c r="G2536" i="2" s="1"/>
  <c r="G2537" i="2" s="1"/>
  <c r="G2538" i="2" s="1"/>
  <c r="G2539" i="2" s="1"/>
  <c r="G2540" i="2" s="1"/>
  <c r="G2541" i="2" s="1"/>
  <c r="G2542" i="2" s="1"/>
  <c r="G2543" i="2" s="1"/>
  <c r="G2544" i="2" s="1"/>
  <c r="G2545" i="2" s="1"/>
  <c r="G2546" i="2" s="1"/>
  <c r="G2547" i="2" s="1"/>
  <c r="G2548" i="2" s="1"/>
  <c r="G2549" i="2" s="1"/>
  <c r="G2550" i="2" s="1"/>
  <c r="G2551" i="2" s="1"/>
  <c r="G2552" i="2" s="1"/>
  <c r="G2553" i="2" s="1"/>
  <c r="G2554" i="2" s="1"/>
  <c r="G2555" i="2" s="1"/>
  <c r="G2556" i="2" s="1"/>
  <c r="G2557" i="2" s="1"/>
  <c r="G2558" i="2" s="1"/>
  <c r="G2559" i="2" s="1"/>
  <c r="G2560" i="2" s="1"/>
  <c r="G2561" i="2" s="1"/>
  <c r="G2562" i="2" s="1"/>
  <c r="G2563" i="2" s="1"/>
  <c r="G2564" i="2" s="1"/>
  <c r="G2565" i="2" s="1"/>
  <c r="G2566" i="2" s="1"/>
  <c r="G2567" i="2" s="1"/>
  <c r="G2568" i="2" s="1"/>
  <c r="G2569" i="2" s="1"/>
  <c r="G2570" i="2" s="1"/>
  <c r="G2571" i="2" s="1"/>
  <c r="G2572" i="2" s="1"/>
  <c r="G2573" i="2" s="1"/>
  <c r="G2574" i="2" s="1"/>
  <c r="G2575" i="2" s="1"/>
  <c r="G2576" i="2" s="1"/>
  <c r="G2577" i="2" s="1"/>
  <c r="G2578" i="2" s="1"/>
  <c r="G2579" i="2" s="1"/>
  <c r="G2580" i="2" s="1"/>
  <c r="G2581" i="2" s="1"/>
  <c r="G2582" i="2" s="1"/>
  <c r="G2583" i="2" s="1"/>
  <c r="G2584" i="2" s="1"/>
  <c r="G2585" i="2" s="1"/>
  <c r="G2586" i="2" s="1"/>
  <c r="G2587" i="2" s="1"/>
  <c r="G2588" i="2" s="1"/>
  <c r="G2589" i="2" s="1"/>
  <c r="G2590" i="2" s="1"/>
  <c r="G2591" i="2" s="1"/>
  <c r="G2592" i="2" s="1"/>
  <c r="G2593" i="2" s="1"/>
  <c r="G2594" i="2" s="1"/>
  <c r="G2595" i="2" s="1"/>
  <c r="G2596" i="2" s="1"/>
  <c r="G2597" i="2" s="1"/>
  <c r="G2598" i="2" s="1"/>
  <c r="G2599" i="2" s="1"/>
  <c r="G2600" i="2" s="1"/>
  <c r="G2601" i="2" s="1"/>
  <c r="G2602" i="2" s="1"/>
  <c r="G2603" i="2" s="1"/>
  <c r="G2604" i="2" s="1"/>
  <c r="G2605" i="2" s="1"/>
  <c r="G2606" i="2" s="1"/>
  <c r="G2607" i="2" s="1"/>
  <c r="G2608" i="2" s="1"/>
  <c r="G2609" i="2" s="1"/>
  <c r="G2610" i="2" s="1"/>
  <c r="G2611" i="2" s="1"/>
  <c r="G2612" i="2" s="1"/>
  <c r="G2613" i="2" s="1"/>
  <c r="G2614" i="2" s="1"/>
  <c r="G2615" i="2" s="1"/>
  <c r="G2616" i="2" s="1"/>
  <c r="G2617" i="2" s="1"/>
  <c r="G2618" i="2" s="1"/>
  <c r="G2619" i="2" s="1"/>
  <c r="G2620" i="2" s="1"/>
  <c r="G2621" i="2" s="1"/>
  <c r="G2622" i="2" s="1"/>
  <c r="G2623" i="2" s="1"/>
  <c r="G2624" i="2" s="1"/>
  <c r="G2625" i="2" s="1"/>
  <c r="G2626" i="2" s="1"/>
  <c r="G2627" i="2" s="1"/>
  <c r="G2628" i="2" s="1"/>
  <c r="G2629" i="2" s="1"/>
  <c r="G2630" i="2" s="1"/>
  <c r="G2631" i="2" s="1"/>
  <c r="G2632" i="2" s="1"/>
  <c r="G2633" i="2" s="1"/>
  <c r="G2634" i="2" s="1"/>
  <c r="G2635" i="2" s="1"/>
  <c r="G2636" i="2" s="1"/>
  <c r="G2637" i="2" s="1"/>
  <c r="G2638" i="2" s="1"/>
  <c r="G2639" i="2" s="1"/>
  <c r="G2640" i="2" s="1"/>
  <c r="G2641" i="2" s="1"/>
  <c r="G2642" i="2" s="1"/>
  <c r="G2643" i="2" s="1"/>
  <c r="G2644" i="2" s="1"/>
  <c r="G2645" i="2" s="1"/>
  <c r="G2646" i="2" s="1"/>
  <c r="G2647" i="2" s="1"/>
  <c r="G2648" i="2" s="1"/>
  <c r="G2649" i="2" s="1"/>
  <c r="G2650" i="2" s="1"/>
  <c r="G2651" i="2" s="1"/>
  <c r="G2652" i="2" s="1"/>
  <c r="G2653" i="2" s="1"/>
  <c r="G2654" i="2" s="1"/>
  <c r="G2655" i="2" s="1"/>
  <c r="G2656" i="2" s="1"/>
  <c r="G2657" i="2" s="1"/>
  <c r="G2658" i="2" s="1"/>
  <c r="G2659" i="2" s="1"/>
  <c r="G2660" i="2" s="1"/>
  <c r="G2661" i="2" s="1"/>
  <c r="G2662" i="2" s="1"/>
  <c r="G2663" i="2" s="1"/>
  <c r="G2664" i="2" s="1"/>
  <c r="G2665" i="2" s="1"/>
  <c r="G2666" i="2" s="1"/>
  <c r="G2667" i="2" s="1"/>
  <c r="G2668" i="2" s="1"/>
  <c r="G2669" i="2" s="1"/>
  <c r="G2670" i="2" s="1"/>
  <c r="G2671" i="2" s="1"/>
  <c r="G2672" i="2" s="1"/>
  <c r="G2673" i="2" s="1"/>
  <c r="G2674" i="2" s="1"/>
  <c r="G2675" i="2" s="1"/>
  <c r="G2676" i="2" s="1"/>
  <c r="G2677" i="2" s="1"/>
  <c r="G2678" i="2" s="1"/>
  <c r="G2679" i="2" s="1"/>
  <c r="G2680" i="2" s="1"/>
  <c r="G2681" i="2" s="1"/>
  <c r="G2682" i="2" s="1"/>
  <c r="G2683" i="2" s="1"/>
  <c r="G2684" i="2" s="1"/>
  <c r="G2685" i="2" s="1"/>
  <c r="G2686" i="2" s="1"/>
  <c r="G2687" i="2" s="1"/>
  <c r="G2688" i="2" s="1"/>
  <c r="G2689" i="2" s="1"/>
  <c r="G2690" i="2" s="1"/>
  <c r="G2691" i="2" s="1"/>
  <c r="G2692" i="2" s="1"/>
  <c r="G2693" i="2" s="1"/>
  <c r="G2694" i="2" s="1"/>
  <c r="G2695" i="2" s="1"/>
  <c r="G2696" i="2" s="1"/>
  <c r="G2697" i="2" s="1"/>
  <c r="G2698" i="2" s="1"/>
  <c r="G2699" i="2" s="1"/>
  <c r="G2700" i="2" s="1"/>
  <c r="G2701" i="2" s="1"/>
  <c r="G2702" i="2" s="1"/>
  <c r="G2703" i="2" s="1"/>
  <c r="G2704" i="2" s="1"/>
  <c r="G2705" i="2" s="1"/>
  <c r="G2706" i="2" s="1"/>
  <c r="G2707" i="2" s="1"/>
  <c r="G2708" i="2" s="1"/>
  <c r="G2709" i="2" s="1"/>
  <c r="G2710" i="2" s="1"/>
  <c r="G2711" i="2" s="1"/>
  <c r="G2712" i="2" s="1"/>
  <c r="G2713" i="2" s="1"/>
  <c r="G2714" i="2" s="1"/>
  <c r="G2715" i="2" s="1"/>
  <c r="G2716" i="2" s="1"/>
  <c r="G2717" i="2" s="1"/>
  <c r="G2718" i="2" s="1"/>
  <c r="G2719" i="2" s="1"/>
  <c r="G2720" i="2" s="1"/>
  <c r="G2721" i="2" s="1"/>
  <c r="G2722" i="2" s="1"/>
  <c r="G2723" i="2" s="1"/>
  <c r="G2724" i="2" s="1"/>
  <c r="G2725" i="2" s="1"/>
  <c r="G2726" i="2" s="1"/>
  <c r="G2727" i="2" s="1"/>
  <c r="G2728" i="2" s="1"/>
  <c r="G2729" i="2" s="1"/>
  <c r="G2730" i="2" s="1"/>
  <c r="G2731" i="2" s="1"/>
  <c r="G2732" i="2" s="1"/>
  <c r="G2733" i="2" s="1"/>
  <c r="G2734" i="2" s="1"/>
  <c r="G2735" i="2" s="1"/>
  <c r="G2736" i="2" s="1"/>
  <c r="G2737" i="2" s="1"/>
  <c r="G2738" i="2" s="1"/>
  <c r="G2739" i="2" s="1"/>
  <c r="G2740" i="2" s="1"/>
  <c r="G2741" i="2" s="1"/>
  <c r="G2742" i="2" s="1"/>
  <c r="G2743" i="2" s="1"/>
  <c r="G2744" i="2" s="1"/>
  <c r="G2745" i="2" s="1"/>
  <c r="G2746" i="2" s="1"/>
  <c r="G2747" i="2" s="1"/>
  <c r="G2748" i="2" s="1"/>
  <c r="G2749" i="2" s="1"/>
  <c r="G2750" i="2" s="1"/>
  <c r="G2751" i="2" s="1"/>
  <c r="G2752" i="2" s="1"/>
  <c r="G2753" i="2" s="1"/>
  <c r="G2754" i="2" s="1"/>
  <c r="G2755" i="2" s="1"/>
  <c r="G2756" i="2" s="1"/>
  <c r="G2757" i="2" s="1"/>
  <c r="G2758" i="2" s="1"/>
  <c r="G2759" i="2" s="1"/>
  <c r="G2760" i="2" s="1"/>
  <c r="G2761" i="2" s="1"/>
  <c r="G2762" i="2" s="1"/>
  <c r="G2763" i="2" s="1"/>
  <c r="G2764" i="2" s="1"/>
  <c r="G2765" i="2" s="1"/>
  <c r="G2766" i="2" s="1"/>
  <c r="G2767" i="2" s="1"/>
  <c r="P6" i="1" l="1"/>
  <c r="E13" i="1"/>
  <c r="P7" i="1"/>
  <c r="C2" i="1"/>
  <c r="D4" i="1"/>
  <c r="D5" i="1"/>
  <c r="D6" i="1"/>
  <c r="D7" i="1"/>
  <c r="D8" i="1"/>
  <c r="D3" i="1"/>
  <c r="O13" i="1" l="1"/>
  <c r="H5" i="1" s="1"/>
  <c r="N13" i="1"/>
  <c r="P12" i="1"/>
  <c r="P8" i="1"/>
  <c r="P11" i="1"/>
  <c r="P10" i="1"/>
  <c r="P9" i="1"/>
  <c r="P13" i="1" l="1"/>
  <c r="J3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889" i="1"/>
  <c r="E890" i="1"/>
  <c r="E891" i="1"/>
  <c r="E892" i="1"/>
  <c r="E893" i="1"/>
  <c r="E1595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131" i="1"/>
  <c r="E132" i="1"/>
  <c r="E13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<sst xmlns="http://schemas.openxmlformats.org/spreadsheetml/2006/main" count="4849" uniqueCount="426">
  <si>
    <t>DESCRIPTION</t>
  </si>
  <si>
    <t>MODALITE</t>
  </si>
  <si>
    <t>DATE</t>
  </si>
  <si>
    <t>Modalité</t>
  </si>
  <si>
    <t>MPESA</t>
  </si>
  <si>
    <t>AIRTELMONEY</t>
  </si>
  <si>
    <t>ORANGEMONEY</t>
  </si>
  <si>
    <t>EQUITY</t>
  </si>
  <si>
    <t>RAWBANK</t>
  </si>
  <si>
    <t>TMB</t>
  </si>
  <si>
    <t>CADECO</t>
  </si>
  <si>
    <t>NIM_DIST</t>
  </si>
  <si>
    <t>NUMDIST</t>
  </si>
  <si>
    <t>JOURNAL OPERATION JPS</t>
  </si>
  <si>
    <t>ACCREDITATION</t>
  </si>
  <si>
    <t>CREDIT</t>
  </si>
  <si>
    <t>BANQUE</t>
  </si>
  <si>
    <t>RESEAU</t>
  </si>
  <si>
    <t>APPROVISIONNEMENT</t>
  </si>
  <si>
    <t>CASH</t>
  </si>
  <si>
    <t>NOM_DISTR</t>
  </si>
  <si>
    <t>BUNIA - ETS COURAGE IT</t>
  </si>
  <si>
    <t>BUNIA -  MBIACHA BUSINESS</t>
  </si>
  <si>
    <t>KANYASI - ZITONO SHOP</t>
  </si>
  <si>
    <t>DALA - EST GRACE DIVINE</t>
  </si>
  <si>
    <t>VAD JPS ISIRO</t>
  </si>
  <si>
    <t>VAD JPS MAHAGI</t>
  </si>
  <si>
    <t>ARU -SHOP ELOHIM</t>
  </si>
  <si>
    <t>ETABLISSEMENT GABRIELLA</t>
  </si>
  <si>
    <t>ETABLISEMENT ESPOIR BUSINESS</t>
  </si>
  <si>
    <t>KIVU - PILIPILI GROUP</t>
  </si>
  <si>
    <t>NYAWERA CANAL SHOP</t>
  </si>
  <si>
    <t>BUNIA - ALPHAT SHOP TC BIA</t>
  </si>
  <si>
    <t>BUNIA - ETS DON DE DIEU</t>
  </si>
  <si>
    <t>WAMBA - MAISON OKAPI</t>
  </si>
  <si>
    <t>BUNIA - MAISON ME DHELE</t>
  </si>
  <si>
    <t>KISANGANI - THEODOR BUSINESS</t>
  </si>
  <si>
    <t>BUNIA - SHOP SOMS HOUSE</t>
  </si>
  <si>
    <t>ARU - ANSELME SHOP</t>
  </si>
  <si>
    <t>KISANGANI - SHOP ESCALIER</t>
  </si>
  <si>
    <t>KIVU - GRACIA SERVICE</t>
  </si>
  <si>
    <t>SUD KIVU - ETS AGRIPPINE</t>
  </si>
  <si>
    <t>Bunia - ETS BOTOAFINE</t>
  </si>
  <si>
    <t>Isiro - MACAMPAGNE</t>
  </si>
  <si>
    <t>BUNIA - CHEZ JUSTIN</t>
  </si>
  <si>
    <t>BUNIA - EGIREX</t>
  </si>
  <si>
    <t>MONGBWALU - ETS FSN</t>
  </si>
  <si>
    <t>Bukavu - Ets JPS DM BUKAVU</t>
  </si>
  <si>
    <t>KISANGANI - ETS  WITHA</t>
  </si>
  <si>
    <t>Bunia - Ets SKY</t>
  </si>
  <si>
    <t>BUNIA - ETS SALEM</t>
  </si>
  <si>
    <t>GOMA - VAD JPS DM</t>
  </si>
  <si>
    <t>GOMA - LG BUSINESS</t>
  </si>
  <si>
    <t>KIVU - SHOP SATELLITE</t>
  </si>
  <si>
    <t>WAROMA - BUSINESS</t>
  </si>
  <si>
    <t>ISIRO - LES AMIS</t>
  </si>
  <si>
    <t>OICHA - CLINIQUE ORDINATEURS</t>
  </si>
  <si>
    <t>ITURI - PARADOXE BUSINESS</t>
  </si>
  <si>
    <t>BUNIA - ETS JASSY</t>
  </si>
  <si>
    <t>ITURI - ETS BJSE</t>
  </si>
  <si>
    <t>KAMITUGA - LA NOSTALGIE</t>
  </si>
  <si>
    <t>DURBA - Ets HUSSUMA BUSINESS</t>
  </si>
  <si>
    <t>ETS CALIFORNIE</t>
  </si>
  <si>
    <t>SHOP LA GRACE</t>
  </si>
  <si>
    <t>SHOP JULUX</t>
  </si>
  <si>
    <t>GOMA - BOUTIQUE JPS DM</t>
  </si>
  <si>
    <t>KASINDI - SHOP ROLKO</t>
  </si>
  <si>
    <t>BENI - SHOP YIELD 1</t>
  </si>
  <si>
    <t>BUNIA - Full Time</t>
  </si>
  <si>
    <t>KALEMIE - SATELLITE</t>
  </si>
  <si>
    <t>KASINDI - TECHNICAL CARE</t>
  </si>
  <si>
    <t>BUNIA - CANAL PLUS VK</t>
  </si>
  <si>
    <t>BUTEMBO - FONDATION RUMY</t>
  </si>
  <si>
    <t>BUNIA - AD INVESTMENT</t>
  </si>
  <si>
    <t>BUNIA - PKANDROMA SHOP SAMS</t>
  </si>
  <si>
    <t>GOMA - CHEZ ZEPHERIN</t>
  </si>
  <si>
    <t>BUNIA - DIMA NET</t>
  </si>
  <si>
    <t>KISANGANI - SHOP LA GRACE</t>
  </si>
  <si>
    <t>MAHAGI - DAN SHOP</t>
  </si>
  <si>
    <t>BUNIA - JC SANS TACHES</t>
  </si>
  <si>
    <t>BENI - SHOP ESPERANCE</t>
  </si>
  <si>
    <t>BUNIA - SHOP SABUNI</t>
  </si>
  <si>
    <t>BUNIA - ETS VOLONTE DE DIEU</t>
  </si>
  <si>
    <t>BUNIA - ETS DIEU MERCI</t>
  </si>
  <si>
    <t>BUKAVU - ETS DIEU EST GRAND</t>
  </si>
  <si>
    <t>KISANGANI - ETS SOLUTION PLUS</t>
  </si>
  <si>
    <t>GOMA - SHOP ALEIX</t>
  </si>
  <si>
    <t>GOMA - ANGELE SHOP RDC</t>
  </si>
  <si>
    <t>GOMA - ETS SHOP ANUARITE</t>
  </si>
  <si>
    <t>GOMA - SHOP KAISHU</t>
  </si>
  <si>
    <t>BUTEMBO - ETS OIEL DU CIEL</t>
  </si>
  <si>
    <t>GOMA - MOISE SHOP</t>
  </si>
  <si>
    <t>GOMA - ETS ADONIS</t>
  </si>
  <si>
    <t>GOMA - DJANGO SHOP</t>
  </si>
  <si>
    <t>GOMA - ETS AKHIM</t>
  </si>
  <si>
    <t>BUTEMBO - GRANDEUR DIVINE SHOP</t>
  </si>
  <si>
    <t>BUNIA - ALPHA SHOP</t>
  </si>
  <si>
    <t>BUNIA - GLORIUS DEUS</t>
  </si>
  <si>
    <t>BUNIA - ETS KAGL</t>
  </si>
  <si>
    <t>BUNIA - ZI BUSINESS</t>
  </si>
  <si>
    <t>MAHAGI - ETS JACQUES PLUS</t>
  </si>
  <si>
    <t>BUNIA - SHOP MATATA</t>
  </si>
  <si>
    <t>BUNIA - TOYA SHOP</t>
  </si>
  <si>
    <t>BUNIA - ETS DON BENIT</t>
  </si>
  <si>
    <t>BUNIA - LA GRACE DIVINE</t>
  </si>
  <si>
    <t>BUNIA - PAPA MALO</t>
  </si>
  <si>
    <t>BUNIA - ETS MOISE MESO</t>
  </si>
  <si>
    <t>DJUGU - CHEZ ROBERT</t>
  </si>
  <si>
    <t>BUNIA - SAJOLA SHOP</t>
  </si>
  <si>
    <t>BUKAVU - ETS LA GLOIRE</t>
  </si>
  <si>
    <t>BUTEMBO - BMSHOP</t>
  </si>
  <si>
    <t>GOMA - MUNZOMBO MATEMBELA</t>
  </si>
  <si>
    <t>GOMA - SHOP TAYLOR</t>
  </si>
  <si>
    <t>GOMA - SHOP DE LA PAIX</t>
  </si>
  <si>
    <t>GOMA - LYDIE BUSINESS</t>
  </si>
  <si>
    <t>GOMA - SHOP SIKJOE</t>
  </si>
  <si>
    <t>GOMA - MIKA SHOP</t>
  </si>
  <si>
    <t>GOMA - SHOP GOMA</t>
  </si>
  <si>
    <t>GOMA - GLOCHRIS</t>
  </si>
  <si>
    <t>MAHAGI - MAISON DIGITAL</t>
  </si>
  <si>
    <t>KISANGANI - STAFF FLORY</t>
  </si>
  <si>
    <t>ISIRO - HADASSA BUSINESS</t>
  </si>
  <si>
    <t>KISANGANI - MONT GOLOGOTA</t>
  </si>
  <si>
    <t>ISIRO - BELLE OUI</t>
  </si>
  <si>
    <t>KISANGANI - SHOP MIRADI</t>
  </si>
  <si>
    <t>ARIWARA - ETS GIFT AZUR</t>
  </si>
  <si>
    <t>BUNIA - ETS SAIDI</t>
  </si>
  <si>
    <t>MONGBWALU - CLAUDE SHOP</t>
  </si>
  <si>
    <t>DURBA - RIEN EST IMOPOBLE</t>
  </si>
  <si>
    <t>BUNIA - YESU NI JIBU</t>
  </si>
  <si>
    <t>BUNIA - SHOP BLESSING</t>
  </si>
  <si>
    <t>SHOP DIVINE</t>
  </si>
  <si>
    <t>MONGWALU - MAISON INTEMPORELLE</t>
  </si>
  <si>
    <t>BUNIA - ETS CANAL BIA</t>
  </si>
  <si>
    <t>BADENGAIDO - LA SAG DE DIEU</t>
  </si>
  <si>
    <t>KOMANDA - ETS NELKASI</t>
  </si>
  <si>
    <t>BUNIA - ETS AMJBUS</t>
  </si>
  <si>
    <t>ARU - CHEZ TRYPHOSE</t>
  </si>
  <si>
    <t>ARU - ETS TULUA BUSINESS</t>
  </si>
  <si>
    <t>BUNIA - ESTHEBI SHOP</t>
  </si>
  <si>
    <t>NOM_DIST</t>
  </si>
  <si>
    <t>ETABLISSEMENT GAB KASINDI</t>
  </si>
  <si>
    <t>ETABLISSEMENT JPS DM DURBA</t>
  </si>
  <si>
    <t>BUNIA - VAD JPS DM</t>
  </si>
  <si>
    <t>BUNIA - ETS CALIFORNIE</t>
  </si>
  <si>
    <t>GOMA - SHOP VERSAILLES</t>
  </si>
  <si>
    <t>GOMA - GUENY BUSINESS</t>
  </si>
  <si>
    <t>ARU - ETS CLAIRE DE LA VILLE</t>
  </si>
  <si>
    <t>DUNGU -  JPS DM DUNGU</t>
  </si>
  <si>
    <t>KISANGANI - ETS BEVERLY</t>
  </si>
  <si>
    <t>KISANGANI - ETS SHOP TAKENGA</t>
  </si>
  <si>
    <t>MAHAGI - WTC</t>
  </si>
  <si>
    <t>GOMA - SHOP YANNICK</t>
  </si>
  <si>
    <t>MAHAGI - ETS JEREMIE 33 3</t>
  </si>
  <si>
    <t>BUKAVU - SHOP MAEVA</t>
  </si>
  <si>
    <t>BUKAVU - SHOP KEVIN</t>
  </si>
  <si>
    <t>BUKAVU - CYBER LAVISTA</t>
  </si>
  <si>
    <t>BUKAVU - TOUT EST GRACE</t>
  </si>
  <si>
    <t>DUNGU - CHEZ JEAN-MARIE</t>
  </si>
  <si>
    <t>BUKAVU - MAISON ESSENTIEL</t>
  </si>
  <si>
    <t>KALEMIE - SHOP INNOCENT</t>
  </si>
  <si>
    <t>BUNIA - CHEZ SIMPLICE</t>
  </si>
  <si>
    <t>BUTEMBO - SHOP EXAUDI</t>
  </si>
  <si>
    <t>BENI - SHOP LA BENECTION</t>
  </si>
  <si>
    <t>BUNIA - KOMANDA LA SOURCE</t>
  </si>
  <si>
    <t>MAHAGI - ETS LA CONFIANCE</t>
  </si>
  <si>
    <t>BUNIA - CHEZ RICHARD</t>
  </si>
  <si>
    <t>KISANGANI - SHOP ISREAL</t>
  </si>
  <si>
    <t>BUNIA - ETS ESOMBA</t>
  </si>
  <si>
    <t>KISANGANI - SHOP CAMP DE PAIX</t>
  </si>
  <si>
    <t>BUNIA - UCI BUSINESS</t>
  </si>
  <si>
    <t>DJUGU - REHEMA SHOP</t>
  </si>
  <si>
    <t>BUNIA - SHOP GLO</t>
  </si>
  <si>
    <t>BUNIA - SHOP DIEU EST FIDELE</t>
  </si>
  <si>
    <t>BUKAVU - NOE SHOP</t>
  </si>
  <si>
    <t>BUTA - ETS SOPHITEL</t>
  </si>
  <si>
    <t>GOMA - ETS EMPIRE BUSINES</t>
  </si>
  <si>
    <t>GOMA - ETS TOUT TERRAIN</t>
  </si>
  <si>
    <t>GOMA - DAVID SHOP</t>
  </si>
  <si>
    <t>GOMA - ETS VICTOR SARLU</t>
  </si>
  <si>
    <t>GOMA - ETS NAKORORO GROUP</t>
  </si>
  <si>
    <t>GOMA - ETS ASHOP</t>
  </si>
  <si>
    <t>GOMA - JENNY SHOP</t>
  </si>
  <si>
    <t>GOMA - ETS LEVETOI MARCHE</t>
  </si>
  <si>
    <t>GOMA - ONCTION DIVINE</t>
  </si>
  <si>
    <t>GOMA - ETS NYARUBIBI</t>
  </si>
  <si>
    <t>BUNIA - SMS SHOP</t>
  </si>
  <si>
    <t>BUNIA - POWER SHOP</t>
  </si>
  <si>
    <t>BUNIA - KAREL SHOP</t>
  </si>
  <si>
    <t>BUNIA - SHOP DOXA</t>
  </si>
  <si>
    <t>BUNIA - SHOP TELE CANAL+</t>
  </si>
  <si>
    <t>BUKAVU - ETS LES SOLIDES</t>
  </si>
  <si>
    <t>GOMA - SOCIETE MAISON GLORY</t>
  </si>
  <si>
    <t>BUTEMBO - DK SERVICE</t>
  </si>
  <si>
    <t>BENI - ANT BENI</t>
  </si>
  <si>
    <t>GOMA - SHOP ESPOIR</t>
  </si>
  <si>
    <t>GOMA - ETS J K K</t>
  </si>
  <si>
    <t>GOMA - BENSHOP</t>
  </si>
  <si>
    <t>GOMA - MEGHAN SHOP</t>
  </si>
  <si>
    <t>GOMA - ETS INNANICK</t>
  </si>
  <si>
    <t>GOMA - BEST TECHNOLOGY</t>
  </si>
  <si>
    <t>GOMA - AMOUR DIVINE</t>
  </si>
  <si>
    <t>GOMA - SHOP MANGWA</t>
  </si>
  <si>
    <t>GOMA - YEKAYA BUSINESS</t>
  </si>
  <si>
    <t>GOMA - ANJAN BUSINESS</t>
  </si>
  <si>
    <t>GOMA - SHOP JUSTIN</t>
  </si>
  <si>
    <t>GOMA - BL SERVICE</t>
  </si>
  <si>
    <t>GOMA - SYLRASH</t>
  </si>
  <si>
    <t>GOMA - NAKORORO VISION</t>
  </si>
  <si>
    <t>GOMA - GABRIELLA SHOP</t>
  </si>
  <si>
    <t>BUKAVU - CYBER IBM</t>
  </si>
  <si>
    <t>BUKAVU - ISRAEL HOUSE MULTISCE</t>
  </si>
  <si>
    <t>BUKAVU - ETS MBAFUMOYA</t>
  </si>
  <si>
    <t>BUKAVU - GRACE SAT</t>
  </si>
  <si>
    <t>BUKAVU - MAISON JULIEN BS</t>
  </si>
  <si>
    <t>BUNIA - IDEAL BUSINESS</t>
  </si>
  <si>
    <t>KISANGANI - EDACOEUR  SERVICE</t>
  </si>
  <si>
    <t>KISANGANI - CAMP DE LA PAIX</t>
  </si>
  <si>
    <t>KISANGANI - ESENGO</t>
  </si>
  <si>
    <t>KISANGANI - LA DETENTE</t>
  </si>
  <si>
    <t>KISANGANI - JOHLDIES BUSINESS</t>
  </si>
  <si>
    <t>BUKAVU - BOUTIQUE AARON</t>
  </si>
  <si>
    <t>BUKAVU - ETS BPAY</t>
  </si>
  <si>
    <t>BUKAVU - SHOP ISHARA</t>
  </si>
  <si>
    <t>ARU - ETS HBC</t>
  </si>
  <si>
    <t>MONGWALU - EPHATA BUSINESS</t>
  </si>
  <si>
    <t>ARU - NEVER GIVE UP</t>
  </si>
  <si>
    <t>BIAKATO - BETTING +</t>
  </si>
  <si>
    <t>GOMA - ETS FULL BUSINESS</t>
  </si>
  <si>
    <t>ISIRO - SHOP CHARA HOUSE</t>
  </si>
  <si>
    <t>Adresse</t>
  </si>
  <si>
    <t>Telephone</t>
  </si>
  <si>
    <t>N° IMPOT</t>
  </si>
  <si>
    <t>ID NAT</t>
  </si>
  <si>
    <t>RCCM</t>
  </si>
  <si>
    <t>Coord Bank</t>
  </si>
  <si>
    <t>JPS DIEU MERCI</t>
  </si>
  <si>
    <t>N° 122, C/MBUNYA, Q. LUMUMBA, AV DELIBERATION</t>
  </si>
  <si>
    <t>0997785896 - 0810099378</t>
  </si>
  <si>
    <t>A1516146S</t>
  </si>
  <si>
    <t>4-93-N18362B</t>
  </si>
  <si>
    <t>RCCM CD/BIA/RCCM-17-A-1193</t>
  </si>
  <si>
    <t>1252-00584272701-19/CDF/RAWBANK/ETS MSO JPS DM</t>
  </si>
  <si>
    <t>SOMMES APROVISIONNEMENT</t>
  </si>
  <si>
    <t>APPROVISIONNMENT</t>
  </si>
  <si>
    <t>SYNTESE</t>
  </si>
  <si>
    <t>CGA</t>
  </si>
  <si>
    <t>SOMMES CREDITATION</t>
  </si>
  <si>
    <t>CREDITATION</t>
  </si>
  <si>
    <t>SOMME PAR MODALITE</t>
  </si>
  <si>
    <t>STOCK INITIALE</t>
  </si>
  <si>
    <t>STOCK ACTUEL</t>
  </si>
  <si>
    <t>RESPONSABLE2</t>
  </si>
  <si>
    <t>STATUT</t>
  </si>
  <si>
    <t>COMPTANT</t>
  </si>
  <si>
    <t>PASSWORD: JPS2026</t>
  </si>
  <si>
    <t>DATES</t>
  </si>
  <si>
    <t>BUNIA - BOUTIQUE JPS DM</t>
  </si>
  <si>
    <t>ETABLISSEMENT-  JPS DM BIGO</t>
  </si>
  <si>
    <t>DUNGU - ETABLISSEMENT JPS DM</t>
  </si>
  <si>
    <t>BUNIA - ETS AIGLE</t>
  </si>
  <si>
    <t>BUNIA - JPS DM</t>
  </si>
  <si>
    <t>CREDITATION REABONNEMENT</t>
  </si>
  <si>
    <t>JULIENNE</t>
  </si>
  <si>
    <t>Approisionnement  compte principal</t>
  </si>
  <si>
    <t>BUNIA - SHOP LA SIMPLICITE</t>
  </si>
  <si>
    <t>SHARI - SHOP DIEU MOI</t>
  </si>
  <si>
    <t>BUNIA - EST GRACE M</t>
  </si>
  <si>
    <t>NORD KIVU - PRINCE BUSINESS</t>
  </si>
  <si>
    <t>SAMBIA - ETS LETA FILS</t>
  </si>
  <si>
    <t>SKT - SARAMBWE TRANSFERT</t>
  </si>
  <si>
    <t>ITURI - ETS JEHOVAH SHALOM</t>
  </si>
  <si>
    <t>JPS GOMA SHOP JUST BUSINESS</t>
  </si>
  <si>
    <t>Approvisionnement compte</t>
  </si>
  <si>
    <t>01/07/2026</t>
  </si>
  <si>
    <t>02/07/2026</t>
  </si>
  <si>
    <t>JPS</t>
  </si>
  <si>
    <t>03/07/2026</t>
  </si>
  <si>
    <t>04/07/2026</t>
  </si>
  <si>
    <t>06/07/2026</t>
  </si>
  <si>
    <t>07/07/2026</t>
  </si>
  <si>
    <t>08/07/2026</t>
  </si>
  <si>
    <t>Paiement commission</t>
  </si>
  <si>
    <t>Retrait compte à  supprimer</t>
  </si>
  <si>
    <t>09/07/2026</t>
  </si>
  <si>
    <t>10/07/2026</t>
  </si>
  <si>
    <t>11/07/2026</t>
  </si>
  <si>
    <t>Ajout commission deux kits retirer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</si>
  <si>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</si>
  <si>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</si>
  <si>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</si>
  <si>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</si>
  <si>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</si>
  <si>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</si>
  <si>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</si>
  <si>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</si>
  <si>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</si>
  <si>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USD7</t>
  </si>
  <si>
    <t>CDF6</t>
  </si>
  <si>
    <t>USD5</t>
  </si>
  <si>
    <t>CDF4</t>
  </si>
  <si>
    <t>USD3</t>
  </si>
  <si>
    <t>CDF2</t>
  </si>
  <si>
    <t>USD</t>
  </si>
  <si>
    <t>CDF</t>
  </si>
  <si>
    <t>Colonne1</t>
  </si>
  <si>
    <t>VENDREDI</t>
  </si>
  <si>
    <t>LUNDI</t>
  </si>
  <si>
    <t>CDF7</t>
  </si>
  <si>
    <t>USD8</t>
  </si>
  <si>
    <t>CDF8</t>
  </si>
  <si>
    <t>USD9</t>
  </si>
  <si>
    <t>CDF9</t>
  </si>
  <si>
    <t>USD10</t>
  </si>
  <si>
    <t>CDF10</t>
  </si>
  <si>
    <t>USD11</t>
  </si>
  <si>
    <t>CDF11</t>
  </si>
  <si>
    <t>USD12</t>
  </si>
  <si>
    <t>CDF12</t>
  </si>
  <si>
    <t>USD13</t>
  </si>
  <si>
    <t>CDF13</t>
  </si>
  <si>
    <t>USD14</t>
  </si>
  <si>
    <t>CDF14</t>
  </si>
  <si>
    <t>USD15</t>
  </si>
  <si>
    <t>CDF15</t>
  </si>
  <si>
    <t>USD16</t>
  </si>
  <si>
    <t>CDF16</t>
  </si>
  <si>
    <t>USD17</t>
  </si>
  <si>
    <t>CDF17</t>
  </si>
  <si>
    <t>USD18</t>
  </si>
  <si>
    <t>CDF18</t>
  </si>
  <si>
    <t>USD19</t>
  </si>
  <si>
    <t>CDF19</t>
  </si>
  <si>
    <t>USD20</t>
  </si>
  <si>
    <t>CDF20</t>
  </si>
  <si>
    <t>USD21</t>
  </si>
  <si>
    <t>CDF21</t>
  </si>
  <si>
    <t>USD22</t>
  </si>
  <si>
    <t>CDF22</t>
  </si>
  <si>
    <t>USD23</t>
  </si>
  <si>
    <t>CDF23</t>
  </si>
  <si>
    <t>USD24</t>
  </si>
  <si>
    <t>CDF24</t>
  </si>
  <si>
    <t>USD25</t>
  </si>
  <si>
    <t>CDF25</t>
  </si>
  <si>
    <t>USD26</t>
  </si>
  <si>
    <t>CDF26</t>
  </si>
  <si>
    <t>USD27</t>
  </si>
  <si>
    <t>CDF27</t>
  </si>
  <si>
    <t>USD28</t>
  </si>
  <si>
    <t>CDF28</t>
  </si>
  <si>
    <t>USD29</t>
  </si>
  <si>
    <t>CDF29</t>
  </si>
  <si>
    <t>USD30</t>
  </si>
  <si>
    <t>CDF30</t>
  </si>
  <si>
    <t>USD31</t>
  </si>
  <si>
    <t>CDF31</t>
  </si>
  <si>
    <t>USD32</t>
  </si>
  <si>
    <t>CDF32</t>
  </si>
  <si>
    <t>USD33</t>
  </si>
  <si>
    <t>CDF33</t>
  </si>
  <si>
    <t>USD34</t>
  </si>
  <si>
    <t>CDF34</t>
  </si>
  <si>
    <t>USD35</t>
  </si>
  <si>
    <t>CDF35</t>
  </si>
  <si>
    <t>USD36</t>
  </si>
  <si>
    <t>CDF36</t>
  </si>
  <si>
    <t>USD37</t>
  </si>
  <si>
    <t>CDF37</t>
  </si>
  <si>
    <t>USD38</t>
  </si>
  <si>
    <t>CDF38</t>
  </si>
  <si>
    <t>USD39</t>
  </si>
  <si>
    <t>CDF39</t>
  </si>
  <si>
    <t>USD40</t>
  </si>
  <si>
    <t>CDF40</t>
  </si>
  <si>
    <t>USD41</t>
  </si>
  <si>
    <t>CDF41</t>
  </si>
  <si>
    <t>USD42</t>
  </si>
  <si>
    <t>CDF42</t>
  </si>
  <si>
    <t>USD43</t>
  </si>
  <si>
    <t>CDF43</t>
  </si>
  <si>
    <t>USD44</t>
  </si>
  <si>
    <t>CDF44</t>
  </si>
  <si>
    <t>USD45</t>
  </si>
  <si>
    <t>21/07/2026</t>
  </si>
  <si>
    <t>22/07/2026</t>
  </si>
  <si>
    <t>23/07/2026</t>
  </si>
  <si>
    <t>24/07/2026</t>
  </si>
  <si>
    <t>25/07/2026</t>
  </si>
  <si>
    <t>27/07/2026</t>
  </si>
  <si>
    <t>VENTE REEL DU JOURS:</t>
  </si>
  <si>
    <t>SOLDE FIN JOURNEE: 79 343 578 CDF</t>
  </si>
  <si>
    <t>APPROVISIONNEMENT COMPTE: 10 100 USD</t>
  </si>
  <si>
    <t>VENTE DU 26 ET 27</t>
  </si>
  <si>
    <t>AIRTEL</t>
  </si>
  <si>
    <t>SOLDE FIN JOURNEE: 48 121 603 CDF</t>
  </si>
  <si>
    <t>MPSA</t>
  </si>
  <si>
    <t>SOLDE FIN JOURNEE:</t>
  </si>
  <si>
    <t>62 117 403 CDF</t>
  </si>
  <si>
    <t>SAM ² DIM</t>
  </si>
  <si>
    <t>Colonne2</t>
  </si>
  <si>
    <t>Colonne3</t>
  </si>
  <si>
    <t>DU 24 AU 27/7/26</t>
  </si>
  <si>
    <t>28/07/2026</t>
  </si>
  <si>
    <t>29/07/2026</t>
  </si>
  <si>
    <t>JUL 44 000 mpesa</t>
  </si>
  <si>
    <t>30/07/2026</t>
  </si>
  <si>
    <t>31/07/2026</t>
  </si>
  <si>
    <t>01/08/2026</t>
  </si>
  <si>
    <t>MARDI 28/7/2026</t>
  </si>
  <si>
    <t>MERCREDI 29/7/2026</t>
  </si>
  <si>
    <t>VENDREDI 31/7/2026</t>
  </si>
  <si>
    <t>JEUDI 30/7/2026</t>
  </si>
  <si>
    <t>SAMEDI 1/8/2026</t>
  </si>
  <si>
    <t>GOMA  JPS SHOP BREM BUSINESS</t>
  </si>
  <si>
    <t>WATHSA - SHOP SALEM</t>
  </si>
  <si>
    <t>BUKAVU  ALPHA BUSNESS JPS</t>
  </si>
  <si>
    <t>DUNGU - ETS COURS DE GRAND</t>
  </si>
  <si>
    <t>JPS GOMA SHOP GOSHEN</t>
  </si>
  <si>
    <t>JPS DURBA-GIRO</t>
  </si>
  <si>
    <t>JPS MAMBASA SHOP CANAL+ RB SAT</t>
  </si>
  <si>
    <t>BUNIA - ETS EVANGILE</t>
  </si>
  <si>
    <t>KASENYI - ETS MUNGU NJO CHEF</t>
  </si>
  <si>
    <t>SHOP GLOIRE BUSINESS</t>
  </si>
  <si>
    <t>BUKAVU JPS CANAL + RETI - RADA</t>
  </si>
  <si>
    <t>ARIWARA JPS SHOP EBENEZER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</si>
</sst>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FC-240C]"/>
    <numFmt numFmtId="165" formatCode="[$$-409]#,##0.00"/>
  </numFmts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scheme val="minor"/>
    </font>
    <font>
      <sz val="11"/>
      <color theme="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D9E1F2"/>
      </patternFill>
    </fill>
  </fills>
  <borders count="58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theme="4" tint="0.39997558519241921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8" fillId="0" borderId="0"/>
    <xf numFmtId="0" fontId="20" fillId="0" borderId="0"/>
    <xf numFmtId="0" fontId="23" fillId="0" borderId="0"/>
  </cellStyleXfs>
  <cellXfs count="154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0" fillId="2" borderId="5" xfId="0" applyFill="1" applyBorder="1"/>
    <xf numFmtId="0" fontId="3" fillId="5" borderId="2" xfId="0" applyFont="1" applyFill="1" applyBorder="1"/>
    <xf numFmtId="0" fontId="3" fillId="0" borderId="2" xfId="0" applyFont="1" applyBorder="1"/>
    <xf numFmtId="0" fontId="3" fillId="5" borderId="2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0" fillId="6" borderId="9" xfId="0" applyFill="1" applyBorder="1" applyAlignment="1" applyProtection="1">
      <alignment vertical="center"/>
      <protection locked="0"/>
    </xf>
    <xf numFmtId="164" fontId="0" fillId="6" borderId="9" xfId="0" applyNumberFormat="1" applyFill="1" applyBorder="1" applyAlignment="1" applyProtection="1">
      <alignment vertical="center"/>
      <protection locked="0"/>
    </xf>
    <xf numFmtId="0" fontId="0" fillId="4" borderId="9" xfId="0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1" xfId="0" applyBorder="1" applyProtection="1">
      <protection locked="0"/>
    </xf>
    <xf numFmtId="0" fontId="7" fillId="4" borderId="13" xfId="0" applyFont="1" applyFill="1" applyBorder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0" fontId="0" fillId="4" borderId="14" xfId="0" applyFill="1" applyBorder="1" applyProtection="1">
      <protection locked="0"/>
    </xf>
    <xf numFmtId="0" fontId="7" fillId="4" borderId="15" xfId="0" applyFont="1" applyFill="1" applyBorder="1" applyAlignment="1" applyProtection="1">
      <alignment horizontal="left"/>
      <protection locked="0"/>
    </xf>
    <xf numFmtId="0" fontId="0" fillId="4" borderId="16" xfId="0" applyFill="1" applyBorder="1" applyProtection="1">
      <protection locked="0"/>
    </xf>
    <xf numFmtId="0" fontId="0" fillId="4" borderId="17" xfId="0" applyFill="1" applyBorder="1" applyProtection="1">
      <protection locked="0"/>
    </xf>
    <xf numFmtId="0" fontId="5" fillId="4" borderId="0" xfId="0" applyFont="1" applyFill="1" applyProtection="1">
      <protection locked="0"/>
    </xf>
    <xf numFmtId="0" fontId="5" fillId="0" borderId="0" xfId="0" applyFont="1" applyProtection="1">
      <protection locked="0"/>
    </xf>
    <xf numFmtId="0" fontId="0" fillId="0" borderId="16" xfId="0" applyBorder="1" applyProtection="1">
      <protection locked="0"/>
    </xf>
    <xf numFmtId="14" fontId="0" fillId="6" borderId="20" xfId="0" applyNumberFormat="1" applyFill="1" applyBorder="1" applyAlignment="1" applyProtection="1">
      <alignment vertical="center"/>
      <protection locked="0"/>
    </xf>
    <xf numFmtId="14" fontId="0" fillId="4" borderId="20" xfId="0" applyNumberFormat="1" applyFill="1" applyBorder="1" applyAlignment="1" applyProtection="1">
      <alignment vertical="center"/>
      <protection locked="0"/>
    </xf>
    <xf numFmtId="0" fontId="0" fillId="4" borderId="18" xfId="0" applyFill="1" applyBorder="1" applyAlignment="1" applyProtection="1">
      <alignment vertical="center"/>
      <protection locked="0"/>
    </xf>
    <xf numFmtId="14" fontId="0" fillId="6" borderId="12" xfId="0" applyNumberFormat="1" applyFill="1" applyBorder="1" applyAlignment="1" applyProtection="1">
      <alignment vertical="center"/>
      <protection locked="0"/>
    </xf>
    <xf numFmtId="0" fontId="0" fillId="6" borderId="22" xfId="0" applyFill="1" applyBorder="1" applyAlignment="1" applyProtection="1">
      <alignment vertical="center"/>
      <protection locked="0"/>
    </xf>
    <xf numFmtId="0" fontId="0" fillId="4" borderId="22" xfId="0" applyFill="1" applyBorder="1" applyAlignment="1" applyProtection="1">
      <alignment vertical="center"/>
      <protection locked="0"/>
    </xf>
    <xf numFmtId="164" fontId="0" fillId="6" borderId="22" xfId="0" applyNumberFormat="1" applyFill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1" fillId="3" borderId="17" xfId="0" applyFont="1" applyFill="1" applyBorder="1" applyProtection="1">
      <protection locked="0"/>
    </xf>
    <xf numFmtId="0" fontId="1" fillId="3" borderId="23" xfId="0" applyFont="1" applyFill="1" applyBorder="1" applyProtection="1">
      <protection locked="0"/>
    </xf>
    <xf numFmtId="0" fontId="1" fillId="3" borderId="15" xfId="0" applyFont="1" applyFill="1" applyBorder="1" applyProtection="1">
      <protection locked="0"/>
    </xf>
    <xf numFmtId="0" fontId="0" fillId="4" borderId="10" xfId="0" applyFill="1" applyBorder="1" applyAlignment="1" applyProtection="1">
      <alignment vertical="center"/>
      <protection locked="0"/>
    </xf>
    <xf numFmtId="0" fontId="0" fillId="4" borderId="26" xfId="0" applyFill="1" applyBorder="1" applyProtection="1">
      <protection locked="0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5" fillId="2" borderId="1" xfId="0" applyFont="1" applyFill="1" applyBorder="1" applyAlignment="1">
      <alignment horizontal="right"/>
    </xf>
    <xf numFmtId="0" fontId="15" fillId="2" borderId="1" xfId="0" applyFont="1" applyFill="1" applyBorder="1"/>
    <xf numFmtId="0" fontId="15" fillId="2" borderId="3" xfId="0" applyFont="1" applyFill="1" applyBorder="1"/>
    <xf numFmtId="3" fontId="15" fillId="2" borderId="1" xfId="0" applyNumberFormat="1" applyFont="1" applyFill="1" applyBorder="1" applyAlignment="1">
      <alignment horizontal="right" vertical="center"/>
    </xf>
    <xf numFmtId="0" fontId="0" fillId="2" borderId="2" xfId="0" applyFill="1" applyBorder="1"/>
    <xf numFmtId="0" fontId="3" fillId="5" borderId="1" xfId="0" applyFont="1" applyFill="1" applyBorder="1"/>
    <xf numFmtId="0" fontId="3" fillId="0" borderId="1" xfId="0" applyFont="1" applyBorder="1"/>
    <xf numFmtId="0" fontId="15" fillId="2" borderId="1" xfId="0" applyFont="1" applyFill="1" applyBorder="1" applyAlignment="1">
      <alignment vertical="top"/>
    </xf>
    <xf numFmtId="0" fontId="3" fillId="5" borderId="6" xfId="0" applyFont="1" applyFill="1" applyBorder="1"/>
    <xf numFmtId="0" fontId="0" fillId="2" borderId="2" xfId="0" applyFill="1" applyBorder="1" applyAlignment="1">
      <alignment horizontal="left"/>
    </xf>
    <xf numFmtId="14" fontId="0" fillId="6" borderId="20" xfId="0" applyNumberFormat="1" applyFill="1" applyBorder="1" applyAlignment="1" applyProtection="1">
      <alignment horizontal="right" vertical="center"/>
      <protection locked="0"/>
    </xf>
    <xf numFmtId="14" fontId="19" fillId="6" borderId="20" xfId="0" applyNumberFormat="1" applyFont="1" applyFill="1" applyBorder="1" applyAlignment="1" applyProtection="1">
      <alignment vertical="center"/>
      <protection locked="0"/>
    </xf>
    <xf numFmtId="0" fontId="19" fillId="6" borderId="9" xfId="0" applyFont="1" applyFill="1" applyBorder="1" applyAlignment="1" applyProtection="1">
      <alignment vertical="center"/>
      <protection locked="0"/>
    </xf>
    <xf numFmtId="0" fontId="19" fillId="4" borderId="9" xfId="0" applyFont="1" applyFill="1" applyBorder="1" applyAlignment="1" applyProtection="1">
      <alignment vertical="center"/>
      <protection locked="0"/>
    </xf>
    <xf numFmtId="3" fontId="0" fillId="0" borderId="0" xfId="0" applyNumberFormat="1"/>
    <xf numFmtId="0" fontId="0" fillId="0" borderId="35" xfId="0" applyBorder="1" applyProtection="1">
      <protection locked="0"/>
    </xf>
    <xf numFmtId="0" fontId="16" fillId="0" borderId="0" xfId="0" applyFont="1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0" fillId="0" borderId="40" xfId="0" applyBorder="1" applyProtection="1">
      <protection locked="0"/>
    </xf>
    <xf numFmtId="0" fontId="16" fillId="12" borderId="36" xfId="0" applyFont="1" applyFill="1" applyBorder="1" applyProtection="1">
      <protection locked="0"/>
    </xf>
    <xf numFmtId="14" fontId="22" fillId="14" borderId="20" xfId="0" applyNumberFormat="1" applyFont="1" applyFill="1" applyBorder="1" applyAlignment="1" applyProtection="1">
      <alignment vertical="center"/>
      <protection locked="0"/>
    </xf>
    <xf numFmtId="0" fontId="22" fillId="14" borderId="9" xfId="0" applyFont="1" applyFill="1" applyBorder="1" applyAlignment="1" applyProtection="1">
      <alignment vertical="center"/>
      <protection locked="0"/>
    </xf>
    <xf numFmtId="14" fontId="0" fillId="9" borderId="35" xfId="0" applyNumberFormat="1" applyFill="1" applyBorder="1" applyAlignment="1" applyProtection="1">
      <alignment horizontal="center"/>
      <protection locked="0"/>
    </xf>
    <xf numFmtId="164" fontId="0" fillId="8" borderId="35" xfId="0" applyNumberFormat="1" applyFill="1" applyBorder="1" applyAlignment="1" applyProtection="1">
      <alignment horizontal="center"/>
      <protection locked="0"/>
    </xf>
    <xf numFmtId="164" fontId="0" fillId="11" borderId="35" xfId="0" applyNumberForma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27" xfId="0" applyFont="1" applyFill="1" applyBorder="1" applyAlignment="1" applyProtection="1">
      <alignment horizontal="center" vertical="center"/>
      <protection locked="0"/>
    </xf>
    <xf numFmtId="164" fontId="4" fillId="7" borderId="33" xfId="0" applyNumberFormat="1" applyFont="1" applyFill="1" applyBorder="1" applyAlignment="1" applyProtection="1">
      <alignment horizontal="center" vertical="center"/>
      <protection locked="0"/>
    </xf>
    <xf numFmtId="164" fontId="4" fillId="7" borderId="34" xfId="0" applyNumberFormat="1" applyFont="1" applyFill="1" applyBorder="1" applyAlignment="1" applyProtection="1">
      <alignment horizontal="center" vertical="center"/>
      <protection locked="0"/>
    </xf>
    <xf numFmtId="0" fontId="2" fillId="4" borderId="24" xfId="0" applyFont="1" applyFill="1" applyBorder="1" applyAlignment="1" applyProtection="1">
      <alignment horizontal="center" vertical="center"/>
      <protection locked="0"/>
    </xf>
    <xf numFmtId="0" fontId="11" fillId="4" borderId="30" xfId="0" applyFont="1" applyFill="1" applyBorder="1" applyAlignment="1" applyProtection="1">
      <alignment horizontal="center"/>
      <protection locked="0"/>
    </xf>
    <xf numFmtId="0" fontId="11" fillId="4" borderId="31" xfId="0" applyFont="1" applyFill="1" applyBorder="1" applyAlignment="1" applyProtection="1">
      <alignment horizontal="center"/>
      <protection locked="0"/>
    </xf>
    <xf numFmtId="0" fontId="11" fillId="4" borderId="32" xfId="0" applyFont="1" applyFill="1" applyBorder="1" applyAlignment="1" applyProtection="1">
      <alignment horizontal="center"/>
      <protection locked="0"/>
    </xf>
    <xf numFmtId="164" fontId="16" fillId="13" borderId="43" xfId="0" applyNumberFormat="1" applyFont="1" applyFill="1" applyBorder="1" applyProtection="1"/>
    <xf numFmtId="165" fontId="21" fillId="13" borderId="44" xfId="0" applyNumberFormat="1" applyFont="1" applyFill="1" applyBorder="1" applyProtection="1"/>
    <xf numFmtId="165" fontId="16" fillId="13" borderId="44" xfId="0" applyNumberFormat="1" applyFont="1" applyFill="1" applyBorder="1" applyProtection="1"/>
    <xf numFmtId="0" fontId="24" fillId="2" borderId="3" xfId="0" applyFont="1" applyFill="1" applyBorder="1"/>
    <xf numFmtId="0" fontId="0" fillId="6" borderId="9" xfId="0" applyNumberFormat="1" applyFill="1" applyBorder="1" applyAlignment="1" applyProtection="1">
      <alignment vertical="center"/>
      <protection locked="0"/>
    </xf>
    <xf numFmtId="0" fontId="0" fillId="2" borderId="3" xfId="0" applyFont="1" applyFill="1" applyBorder="1"/>
    <xf numFmtId="0" fontId="0" fillId="6" borderId="22" xfId="0" applyNumberFormat="1" applyFill="1" applyBorder="1" applyAlignment="1" applyProtection="1">
      <alignment vertical="center"/>
      <protection locked="0"/>
    </xf>
    <xf numFmtId="0" fontId="22" fillId="14" borderId="9" xfId="0" applyNumberFormat="1" applyFont="1" applyFill="1" applyBorder="1" applyAlignment="1" applyProtection="1">
      <alignment vertical="center"/>
      <protection locked="0"/>
    </xf>
    <xf numFmtId="0" fontId="0" fillId="0" borderId="10" xfId="0" applyBorder="1" applyAlignment="1" applyProtection="1">
      <alignment horizontal="centerContinuous"/>
      <protection locked="0"/>
    </xf>
    <xf numFmtId="0" fontId="13" fillId="4" borderId="10" xfId="0" applyFont="1" applyFill="1" applyBorder="1" applyAlignment="1" applyProtection="1">
      <alignment horizontal="centerContinuous" vertical="center"/>
      <protection locked="0"/>
    </xf>
    <xf numFmtId="0" fontId="0" fillId="0" borderId="11" xfId="0" applyBorder="1" applyAlignment="1" applyProtection="1">
      <alignment horizontal="centerContinuous"/>
      <protection locked="0"/>
    </xf>
    <xf numFmtId="0" fontId="0" fillId="0" borderId="12" xfId="0" applyBorder="1" applyAlignment="1" applyProtection="1">
      <alignment horizontal="centerContinuous"/>
      <protection locked="0"/>
    </xf>
    <xf numFmtId="0" fontId="1" fillId="3" borderId="21" xfId="0" applyFont="1" applyFill="1" applyBorder="1" applyProtection="1">
      <protection locked="0"/>
    </xf>
    <xf numFmtId="0" fontId="1" fillId="3" borderId="4" xfId="0" applyFont="1" applyFill="1" applyBorder="1" applyProtection="1"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0" fontId="0" fillId="0" borderId="15" xfId="0" applyBorder="1" applyProtection="1">
      <protection locked="0"/>
    </xf>
    <xf numFmtId="0" fontId="11" fillId="4" borderId="18" xfId="0" applyFont="1" applyFill="1" applyBorder="1" applyAlignment="1" applyProtection="1">
      <alignment horizontal="center" vertical="center"/>
      <protection hidden="1"/>
    </xf>
    <xf numFmtId="0" fontId="11" fillId="4" borderId="19" xfId="0" applyFont="1" applyFill="1" applyBorder="1" applyAlignment="1" applyProtection="1">
      <alignment horizontal="center" vertical="center"/>
      <protection hidden="1"/>
    </xf>
    <xf numFmtId="164" fontId="4" fillId="8" borderId="29" xfId="0" applyNumberFormat="1" applyFont="1" applyFill="1" applyBorder="1" applyAlignment="1" applyProtection="1">
      <alignment horizontal="center" vertical="center"/>
      <protection hidden="1"/>
    </xf>
    <xf numFmtId="164" fontId="4" fillId="8" borderId="25" xfId="0" applyNumberFormat="1" applyFont="1" applyFill="1" applyBorder="1" applyAlignment="1" applyProtection="1">
      <alignment horizontal="center" vertical="center"/>
      <protection hidden="1"/>
    </xf>
    <xf numFmtId="164" fontId="4" fillId="8" borderId="28" xfId="0" applyNumberFormat="1" applyFont="1" applyFill="1" applyBorder="1" applyAlignment="1" applyProtection="1">
      <alignment horizontal="center" vertical="center"/>
      <protection hidden="1"/>
    </xf>
    <xf numFmtId="164" fontId="14" fillId="7" borderId="27" xfId="0" applyNumberFormat="1" applyFont="1" applyFill="1" applyBorder="1" applyAlignment="1" applyProtection="1">
      <alignment vertical="center"/>
      <protection hidden="1"/>
    </xf>
    <xf numFmtId="164" fontId="0" fillId="6" borderId="9" xfId="0" applyNumberFormat="1" applyFill="1" applyBorder="1" applyAlignment="1" applyProtection="1">
      <alignment vertical="center"/>
      <protection hidden="1"/>
    </xf>
    <xf numFmtId="164" fontId="4" fillId="6" borderId="9" xfId="0" applyNumberFormat="1" applyFont="1" applyFill="1" applyBorder="1" applyAlignment="1" applyProtection="1">
      <alignment vertical="center"/>
      <protection hidden="1"/>
    </xf>
    <xf numFmtId="164" fontId="12" fillId="5" borderId="9" xfId="0" applyNumberFormat="1" applyFont="1" applyFill="1" applyBorder="1" applyAlignment="1" applyProtection="1">
      <alignment horizontal="center" vertical="center"/>
      <protection hidden="1"/>
    </xf>
    <xf numFmtId="0" fontId="0" fillId="4" borderId="0" xfId="0" applyFill="1" applyProtection="1">
      <protection hidden="1"/>
    </xf>
    <xf numFmtId="0" fontId="0" fillId="4" borderId="16" xfId="0" applyFill="1" applyBorder="1" applyProtection="1">
      <protection hidden="1"/>
    </xf>
    <xf numFmtId="0" fontId="0" fillId="4" borderId="9" xfId="0" applyFill="1" applyBorder="1" applyAlignment="1" applyProtection="1">
      <alignment vertical="center"/>
      <protection hidden="1"/>
    </xf>
    <xf numFmtId="0" fontId="0" fillId="4" borderId="22" xfId="0" applyFill="1" applyBorder="1" applyAlignment="1" applyProtection="1">
      <alignment vertical="center"/>
      <protection hidden="1"/>
    </xf>
    <xf numFmtId="164" fontId="16" fillId="6" borderId="22" xfId="0" applyNumberFormat="1" applyFont="1" applyFill="1" applyBorder="1" applyAlignment="1" applyProtection="1">
      <alignment vertical="center"/>
      <protection hidden="1"/>
    </xf>
    <xf numFmtId="164" fontId="0" fillId="10" borderId="36" xfId="0" applyNumberFormat="1" applyFill="1" applyBorder="1" applyAlignment="1" applyProtection="1">
      <alignment horizontal="center"/>
      <protection locked="0"/>
    </xf>
    <xf numFmtId="164" fontId="0" fillId="10" borderId="39" xfId="0" applyNumberFormat="1" applyFill="1" applyBorder="1" applyAlignment="1" applyProtection="1">
      <alignment horizontal="center"/>
      <protection locked="0"/>
    </xf>
    <xf numFmtId="164" fontId="0" fillId="10" borderId="55" xfId="0" applyNumberFormat="1" applyFill="1" applyBorder="1" applyAlignment="1" applyProtection="1">
      <alignment horizontal="center"/>
      <protection locked="0"/>
    </xf>
    <xf numFmtId="164" fontId="0" fillId="10" borderId="35" xfId="0" applyNumberFormat="1" applyFill="1" applyBorder="1" applyAlignment="1" applyProtection="1">
      <alignment horizontal="center"/>
      <protection locked="0"/>
    </xf>
    <xf numFmtId="165" fontId="0" fillId="13" borderId="35" xfId="0" applyNumberFormat="1" applyFill="1" applyBorder="1" applyProtection="1">
      <protection locked="0"/>
    </xf>
    <xf numFmtId="164" fontId="0" fillId="13" borderId="41" xfId="0" applyNumberFormat="1" applyFill="1" applyBorder="1" applyProtection="1"/>
    <xf numFmtId="165" fontId="0" fillId="13" borderId="42" xfId="0" applyNumberFormat="1" applyFill="1" applyBorder="1" applyProtection="1"/>
    <xf numFmtId="164" fontId="0" fillId="13" borderId="43" xfId="0" applyNumberFormat="1" applyFill="1" applyBorder="1" applyProtection="1"/>
    <xf numFmtId="165" fontId="0" fillId="13" borderId="44" xfId="0" applyNumberFormat="1" applyFill="1" applyBorder="1" applyProtection="1"/>
    <xf numFmtId="165" fontId="0" fillId="13" borderId="45" xfId="0" applyNumberFormat="1" applyFill="1" applyBorder="1" applyProtection="1"/>
    <xf numFmtId="164" fontId="0" fillId="13" borderId="46" xfId="0" applyNumberFormat="1" applyFill="1" applyBorder="1" applyProtection="1"/>
    <xf numFmtId="165" fontId="0" fillId="13" borderId="47" xfId="0" applyNumberFormat="1" applyFill="1" applyBorder="1" applyProtection="1"/>
    <xf numFmtId="165" fontId="0" fillId="13" borderId="48" xfId="0" applyNumberFormat="1" applyFill="1" applyBorder="1" applyProtection="1"/>
    <xf numFmtId="164" fontId="16" fillId="13" borderId="48" xfId="0" applyNumberFormat="1" applyFont="1" applyFill="1" applyBorder="1" applyProtection="1"/>
    <xf numFmtId="165" fontId="16" fillId="13" borderId="48" xfId="0" applyNumberFormat="1" applyFont="1" applyFill="1" applyBorder="1" applyProtection="1"/>
    <xf numFmtId="165" fontId="16" fillId="13" borderId="42" xfId="0" applyNumberFormat="1" applyFont="1" applyFill="1" applyBorder="1" applyProtection="1"/>
    <xf numFmtId="164" fontId="16" fillId="13" borderId="56" xfId="0" applyNumberFormat="1" applyFont="1" applyFill="1" applyBorder="1" applyProtection="1"/>
    <xf numFmtId="165" fontId="16" fillId="13" borderId="57" xfId="0" applyNumberFormat="1" applyFont="1" applyFill="1" applyBorder="1" applyProtection="1"/>
    <xf numFmtId="164" fontId="0" fillId="13" borderId="46" xfId="0" applyNumberFormat="1" applyFill="1" applyBorder="1" applyAlignment="1" applyProtection="1">
      <alignment horizontal="center"/>
    </xf>
    <xf numFmtId="164" fontId="0" fillId="13" borderId="49" xfId="0" applyNumberFormat="1" applyFill="1" applyBorder="1" applyAlignment="1" applyProtection="1">
      <alignment horizontal="center"/>
    </xf>
    <xf numFmtId="164" fontId="0" fillId="13" borderId="53" xfId="0" applyNumberFormat="1" applyFill="1" applyBorder="1" applyAlignment="1" applyProtection="1">
      <alignment horizontal="center"/>
    </xf>
    <xf numFmtId="164" fontId="0" fillId="13" borderId="54" xfId="0" applyNumberFormat="1" applyFill="1" applyBorder="1" applyAlignment="1" applyProtection="1">
      <alignment horizontal="center"/>
    </xf>
    <xf numFmtId="164" fontId="0" fillId="13" borderId="47" xfId="0" applyNumberFormat="1" applyFill="1" applyBorder="1" applyAlignment="1" applyProtection="1">
      <alignment horizontal="center"/>
    </xf>
    <xf numFmtId="164" fontId="0" fillId="13" borderId="50" xfId="0" applyNumberFormat="1" applyFill="1" applyBorder="1" applyProtection="1"/>
    <xf numFmtId="164" fontId="0" fillId="13" borderId="51" xfId="0" applyNumberFormat="1" applyFill="1" applyBorder="1" applyProtection="1"/>
    <xf numFmtId="164" fontId="0" fillId="13" borderId="52" xfId="0" applyNumberFormat="1" applyFill="1" applyBorder="1" applyProtection="1"/>
    <xf numFmtId="164" fontId="0" fillId="4" borderId="35" xfId="0" applyNumberFormat="1" applyFill="1" applyBorder="1" applyProtection="1">
      <protection locked="0"/>
    </xf>
    <xf numFmtId="165" fontId="0" fillId="4" borderId="35" xfId="0" applyNumberFormat="1" applyFill="1" applyBorder="1" applyProtection="1">
      <protection locked="0"/>
    </xf>
    <xf numFmtId="165" fontId="0" fillId="4" borderId="36" xfId="0" applyNumberFormat="1" applyFill="1" applyBorder="1" applyProtection="1">
      <protection locked="0"/>
    </xf>
    <xf numFmtId="164" fontId="0" fillId="4" borderId="39" xfId="0" applyNumberFormat="1" applyFill="1" applyBorder="1" applyProtection="1">
      <protection locked="0"/>
    </xf>
    <xf numFmtId="0" fontId="0" fillId="4" borderId="35" xfId="0" applyFill="1" applyBorder="1" applyProtection="1">
      <protection locked="0"/>
    </xf>
    <xf numFmtId="164" fontId="16" fillId="4" borderId="35" xfId="0" applyNumberFormat="1" applyFont="1" applyFill="1" applyBorder="1" applyProtection="1">
      <protection locked="0"/>
    </xf>
    <xf numFmtId="165" fontId="16" fillId="4" borderId="35" xfId="0" applyNumberFormat="1" applyFont="1" applyFill="1" applyBorder="1" applyProtection="1">
      <protection locked="0"/>
    </xf>
    <xf numFmtId="165" fontId="16" fillId="4" borderId="36" xfId="0" applyNumberFormat="1" applyFont="1" applyFill="1" applyBorder="1" applyProtection="1">
      <protection locked="0"/>
    </xf>
    <xf numFmtId="0" fontId="16" fillId="4" borderId="35" xfId="0" applyFont="1" applyFill="1" applyBorder="1" applyProtection="1">
      <protection locked="0"/>
    </xf>
    <xf numFmtId="164" fontId="0" fillId="4" borderId="38" xfId="0" applyNumberFormat="1" applyFill="1" applyBorder="1" applyProtection="1">
      <protection locked="0"/>
    </xf>
    <xf numFmtId="165" fontId="0" fillId="4" borderId="38" xfId="0" applyNumberFormat="1" applyFill="1" applyBorder="1" applyProtection="1">
      <protection locked="0"/>
    </xf>
    <xf numFmtId="165" fontId="0" fillId="4" borderId="2" xfId="0" applyNumberFormat="1" applyFill="1" applyBorder="1" applyProtection="1">
      <protection locked="0"/>
    </xf>
    <xf numFmtId="164" fontId="0" fillId="4" borderId="37" xfId="0" applyNumberFormat="1" applyFill="1" applyBorder="1" applyProtection="1">
      <protection locked="0"/>
    </xf>
    <xf numFmtId="164" fontId="25" fillId="8" borderId="38" xfId="0" applyNumberFormat="1" applyFont="1" applyFill="1" applyBorder="1" applyProtection="1">
      <protection locked="0"/>
    </xf>
    <xf numFmtId="165" fontId="25" fillId="8" borderId="38" xfId="0" applyNumberFormat="1" applyFont="1" applyFill="1" applyBorder="1" applyProtection="1">
      <protection locked="0"/>
    </xf>
    <xf numFmtId="0" fontId="25" fillId="8" borderId="35" xfId="0" applyFont="1" applyFill="1" applyBorder="1" applyProtection="1">
      <protection locked="0"/>
    </xf>
    <xf numFmtId="164" fontId="25" fillId="8" borderId="35" xfId="0" applyNumberFormat="1" applyFont="1" applyFill="1" applyBorder="1" applyProtection="1">
      <protection locked="0"/>
    </xf>
    <xf numFmtId="165" fontId="25" fillId="8" borderId="35" xfId="0" applyNumberFormat="1" applyFont="1" applyFill="1" applyBorder="1" applyProtection="1">
      <protection locked="0"/>
    </xf>
    <xf numFmtId="165" fontId="25" fillId="8" borderId="36" xfId="0" applyNumberFormat="1" applyFont="1" applyFill="1" applyBorder="1" applyProtection="1">
      <protection locked="0"/>
    </xf>
    <xf numFmtId="0" fontId="25" fillId="8" borderId="0" xfId="0" applyFont="1" applyFill="1" applyProtection="1">
      <protection locked="0"/>
    </xf>
  </cellXfs>
  <cellStyles count="4">
    <cellStyle name="Normal" xfId="0" builtinId="0"/>
    <cellStyle name="Normal 2" xfId="1" xr:uid="{A98CD7EF-89AB-410E-9159-E5EF8B819432}"/>
    <cellStyle name="Normal 3" xfId="2" xr:uid="{D70B218D-5AA2-4C73-BA6C-A24DEA585DCE}"/>
    <cellStyle name="Normal 4" xfId="3" xr:uid="{E00A72C7-7B46-430B-A9B1-5565777FEE25}"/>
  </cellStyles>
  <dxfs count="135"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5" formatCode="[$$-409]#,##0.00"/>
      <fill>
        <patternFill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$-409]#,##0.00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$-409]#,##0.00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$-409]#,##0.00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$-409]#,##0.00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$-409]#,##0.00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$-409]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$-409]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$-409]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#,##0.00\ [$FC-240C]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5" formatCode="[$$-409]#,##0.00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  <protection locked="1" hidden="0"/>
    </dxf>
    <dxf>
      <numFmt numFmtId="164" formatCode="#,##0.00\ [$FC-240C]"/>
      <fill>
        <patternFill patternType="solid">
          <fgColor indexed="64"/>
          <bgColor rgb="FFFFC000"/>
        </patternFill>
      </fill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  <protection locked="1" hidden="0"/>
    </dxf>
    <dxf>
      <numFmt numFmtId="166" formatCode="[$$-409]#.##0\.00"/>
      <protection locked="0" hidden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#,##0.00\ [$FC-240C]"/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#,##0.00\ [$FC-240C]"/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</border>
      <protection locked="1" hidden="1"/>
    </dxf>
    <dxf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  <protection locked="1" hidden="1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#,##0.00\ [$FC-240C]"/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scheme val="minor"/>
      </font>
      <numFmt numFmtId="164" formatCode="#,##0.00\ [$FC-240C]"/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Calibri"/>
        <scheme val="minor"/>
      </font>
      <numFmt numFmtId="164" formatCode="#,##0.00\ [$FC-240C]"/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  <protection locked="1" hidden="1"/>
    </dxf>
    <dxf>
      <fill>
        <patternFill>
          <bgColor theme="0"/>
        </patternFill>
      </fill>
      <alignment horizontal="general" vertical="center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  <protection locked="0" hidden="0"/>
    </dxf>
    <dxf>
      <protection locked="0" hidden="0"/>
    </dxf>
    <dxf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\ [$FC-240C]"/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.00\ [$FC-240C]"/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  <protection locked="0" hidden="0"/>
    </dxf>
    <dxf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</border>
      <protection locked="0" hidden="0"/>
    </dxf>
    <dxf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  <protection locked="0" hidden="0"/>
    </dxf>
    <dxf>
      <numFmt numFmtId="19" formatCode="dd/mm/yyyy"/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4" tint="0.79998168889431442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#,##0.00\ [$FC-240C]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#,##0.00\ [$FC-240C]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#,##0.00\ [$FC-240C]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  <protection locked="0" hidden="0"/>
    </dxf>
    <dxf>
      <border diagonalUp="0" diagonalDown="0">
        <left style="double">
          <color indexed="64"/>
        </left>
        <right/>
        <top/>
        <bottom style="double">
          <color indexed="64"/>
        </bottom>
      </border>
      <protection locked="0" hidden="0"/>
    </dxf>
    <dxf>
      <border diagonalUp="0" diagonalDown="0">
        <right style="double">
          <color indexed="64"/>
        </right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gradientFill degree="90">
          <stop position="0">
            <color theme="0"/>
          </stop>
          <stop position="1">
            <color rgb="FF92D050"/>
          </stop>
        </gradientFill>
      </fill>
      <border>
        <vertical/>
        <horizontal/>
      </border>
    </dxf>
    <dxf>
      <fill>
        <patternFill>
          <fgColor rgb="FF92D050"/>
          <bgColor theme="9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472890</xdr:colOff>
      <xdr:row>5</xdr:row>
      <xdr:rowOff>15104</xdr:rowOff>
    </xdr:from>
    <xdr:to>
      <xdr:col>9</xdr:col>
      <xdr:colOff>59764</xdr:colOff>
      <xdr:row>8</xdr:row>
      <xdr:rowOff>224118</xdr:rowOff>
    </xdr:to>
    <xdr:grpSp>
      <xdr:nvGrpSpPr>
        <xdr:cNvPr id="7" name="Groupe 6">
          <a:extLst>
            <a:ext uri="{FF2B5EF4-FFF2-40B4-BE49-F238E27FC236}">
              <a16:creationId xmlns:a16="http://schemas.microsoft.com/office/drawing/2014/main" id="{83AEE3D5-6409-4FC9-DFBF-C60F4796283D}"/>
            </a:ext>
          </a:extLst>
        </xdr:cNvPr>
        <xdr:cNvGrpSpPr/>
      </xdr:nvGrpSpPr>
      <xdr:grpSpPr>
        <a:xfrm>
          <a:off x="7039537" y="1068457"/>
          <a:ext cx="3583639" cy="821602"/>
          <a:chOff x="13538949" y="2858248"/>
          <a:chExt cx="3583639" cy="1091370"/>
        </a:xfrm>
      </xdr:grpSpPr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2" name="DATE">
                <a:extLst>
                  <a:ext uri="{FF2B5EF4-FFF2-40B4-BE49-F238E27FC236}">
                    <a16:creationId xmlns:a16="http://schemas.microsoft.com/office/drawing/2014/main" id="{C32525DF-196D-DAB6-D1EA-3F82E3ADC70C}"/>
                  </a:ext>
                </a:extLst>
              </xdr:cNvPr>
              <xdr:cNvGraphicFramePr/>
            </xdr:nvGraphicFramePr>
            <xdr:xfrm>
              <a:off x="15441706" y="2884393"/>
              <a:ext cx="1680882" cy="906027"/>
            </xdr:xfrm>
            <a:graphic>
              <a:graphicData uri="http://schemas.microsoft.com/office/drawing/2010/slicer">
                <sle:slicer xmlns:sle="http://schemas.microsoft.com/office/drawing/2010/slicer" name="D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942294" y="1088139"/>
                <a:ext cx="1680882" cy="68207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D" sz="1100"/>
  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5" name="MODALITE">
                <a:extLst>
                  <a:ext uri="{FF2B5EF4-FFF2-40B4-BE49-F238E27FC236}">
                    <a16:creationId xmlns:a16="http://schemas.microsoft.com/office/drawing/2014/main" id="{C7955B27-39AA-4DFA-B009-A01A4B224B5D}"/>
                  </a:ext>
                </a:extLst>
              </xdr:cNvPr>
              <xdr:cNvGraphicFramePr/>
            </xdr:nvGraphicFramePr>
            <xdr:xfrm>
              <a:off x="13538949" y="2858248"/>
              <a:ext cx="1828800" cy="1091370"/>
            </xdr:xfrm>
            <a:graphic>
              <a:graphicData uri="http://schemas.microsoft.com/office/drawing/2010/slicer">
                <sle:slicer xmlns:sle="http://schemas.microsoft.com/office/drawing/2010/slicer" name="MODALI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039537" y="1068457"/>
                <a:ext cx="1828800" cy="82160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fr-CD" sz="1100"/>
  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  </a:r>
              </a:p>
            </xdr:txBody>
          </xdr:sp>
        </mc:Fallback>
      </mc:AlternateContent>
    </xdr:grpSp>
    <xdr:clientData/>
  </xdr:twoCellAnchor>
  <xdr:twoCellAnchor>
    <xdr:from>
      <xdr:col>5</xdr:col>
      <xdr:colOff>67235</xdr:colOff>
      <xdr:row>1</xdr:row>
      <xdr:rowOff>239058</xdr:rowOff>
    </xdr:from>
    <xdr:to>
      <xdr:col>6</xdr:col>
      <xdr:colOff>0</xdr:colOff>
      <xdr:row>7</xdr:row>
      <xdr:rowOff>126999</xdr:rowOff>
    </xdr:to>
    <xdr:sp macro="" textlink="">
      <xdr:nvSpPr>
        <xdr:cNvPr id="3" name="Logo jps2">
          <a:extLst>
            <a:ext uri="{FF2B5EF4-FFF2-40B4-BE49-F238E27FC236}">
              <a16:creationId xmlns:a16="http://schemas.microsoft.com/office/drawing/2014/main" id="{45CBD6C9-4746-93F9-8EE4-78DD68A282A0}"/>
            </a:ext>
          </a:extLst>
        </xdr:cNvPr>
        <xdr:cNvSpPr/>
      </xdr:nvSpPr>
      <xdr:spPr>
        <a:xfrm>
          <a:off x="4168588" y="657411"/>
          <a:ext cx="2637118" cy="1105647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D" sz="1100"/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DALITE" xr10:uid="{242D2F03-E2EC-4970-B63E-AA97C43034F0}" sourceName="MODALITE">
  <extLst>
    <x:ext xmlns:x15="http://schemas.microsoft.com/office/spreadsheetml/2010/11/main" uri="{2F2917AC-EB37-4324-AD4E-5DD8C200BD13}">
      <x15:tableSlicerCache tableId="8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ATE" xr10:uid="{35B56328-B4A2-4222-BA29-C8E226C5B7BC}" sourceName="DATE">
  <extLst>
    <x:ext xmlns:x15="http://schemas.microsoft.com/office/spreadsheetml/2010/11/main" uri="{2F2917AC-EB37-4324-AD4E-5DD8C200BD13}">
      <x15:tableSlicerCache tableId="8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ALITE" xr10:uid="{E22FEB06-ACF3-445E-8797-33B0D2265D12}" cache="Segment_MODALITE" caption="MODALITE" rowHeight="241300"/>
  <slicer name="DATE" xr10:uid="{506AD734-9A9A-432F-90AB-DC2775E5A0BC}" cache="Segment_DATE" caption="DATE" startItem="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odalités" displayName="Modalités" ref="C2:C10" totalsRowShown="0">
  <autoFilter ref="C2:C10" xr:uid="{00000000-0009-0000-0100-000002000000}"/>
  <tableColumns count="1">
    <tableColumn id="1" xr3:uid="{00000000-0010-0000-0000-000001000000}" name="Modalit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au7" displayName="Tableau7" ref="J2:J5" totalsRowShown="0">
  <autoFilter ref="J2:J5" xr:uid="{00000000-0009-0000-0100-000007000000}"/>
  <tableColumns count="1">
    <tableColumn id="1" xr3:uid="{00000000-0010-0000-0100-000001000000}" name="APPROVISIONN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NUMDIST" displayName="NUMDIST" ref="A2:B236" totalsRowShown="0" dataDxfId="134" tableBorderDxfId="133">
  <autoFilter ref="A2:B236" xr:uid="{00000000-0009-0000-0100-000005000000}"/>
  <sortState xmlns:xlrd2="http://schemas.microsoft.com/office/spreadsheetml/2017/richdata2" ref="A3:B224">
    <sortCondition ref="A224"/>
  </sortState>
  <tableColumns count="2">
    <tableColumn id="1" xr3:uid="{00000000-0010-0000-0200-000001000000}" name="NUMDIST" dataDxfId="132"/>
    <tableColumn id="2" xr3:uid="{00000000-0010-0000-0200-000002000000}" name="NOM_DIST" dataDxfId="1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STATUT" displayName="STATUT" ref="E2:E4" totalsRowShown="0">
  <autoFilter ref="E2:E4" xr:uid="{00000000-0009-0000-0100-000003000000}"/>
  <tableColumns count="1">
    <tableColumn id="1" xr3:uid="{00000000-0010-0000-0300-000001000000}" name="STAT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SYNTHESE" displayName="TABLE_SYNTHESE" ref="M4:P13" totalsRowCount="1" headerRowDxfId="113" dataDxfId="111" totalsRowDxfId="112">
  <autoFilter ref="M4:P12" xr:uid="{00000000-0009-0000-0100-000006000000}"/>
  <tableColumns count="4">
    <tableColumn id="1" xr3:uid="{00000000-0010-0000-0500-000001000000}" name="MODALITE" dataDxfId="118" totalsRowDxfId="117"/>
    <tableColumn id="2" xr3:uid="{00000000-0010-0000-0500-000002000000}" name="SOMMES CREDITATION" totalsRowFunction="custom" dataDxfId="92" totalsRowDxfId="116">
      <calculatedColumnFormula>SUMIF('JOURNAL DES OPERATIONS'!$G$12:$I$1595,$M5,'JOURNAL DES OPERATIONS'!$H$12:$H$1595)</calculatedColumnFormula>
      <totalsRowFormula>SUM(N5:N12)</totalsRowFormula>
    </tableColumn>
    <tableColumn id="3" xr3:uid="{00000000-0010-0000-0500-000003000000}" name="SOMMES APROVISIONNEMENT" totalsRowFunction="sum" dataDxfId="91" totalsRowDxfId="115">
      <calculatedColumnFormula>SUMIF('JOURNAL DES OPERATIONS'!$G$12:$I$1595,$M5,'JOURNAL DES OPERATIONS'!$I$12:$I$1595)</calculatedColumnFormula>
    </tableColumn>
    <tableColumn id="5" xr3:uid="{00000000-0010-0000-0500-000005000000}" name="SOMME PAR MODALITE" totalsRowFunction="sum" dataDxfId="90" totalsRowDxfId="114">
      <calculatedColumnFormula>SUM(N5:O5)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leau8" displayName="Tableau8" ref="C11:K1596" totalsRowCount="1" headerRowDxfId="95" dataDxfId="93" totalsRowDxfId="94" headerRowBorderDxfId="130" tableBorderDxfId="129" totalsRowBorderDxfId="128">
  <autoFilter ref="C11:K1595" xr:uid="{00000000-0009-0000-0100-000008000000}"/>
  <tableColumns count="9">
    <tableColumn id="1" xr3:uid="{00000000-0010-0000-0400-000001000000}" name="DATE" dataDxfId="110" totalsRowDxfId="109"/>
    <tableColumn id="2" xr3:uid="{00000000-0010-0000-0400-000002000000}" name="NIM_DIST" dataDxfId="108" totalsRowDxfId="107"/>
    <tableColumn id="3" xr3:uid="{00000000-0010-0000-0400-000003000000}" name="NOM_DISTR" dataDxfId="89" totalsRowDxfId="106">
      <calculatedColumnFormula>IFERROR(VLOOKUP($D12,NUMDIST[],2,FALSE),"DA Non trouvéé")</calculatedColumnFormula>
    </tableColumn>
    <tableColumn id="4" xr3:uid="{00000000-0010-0000-0400-000004000000}" name="DESCRIPTION" dataDxfId="105" totalsRowDxfId="104"/>
    <tableColumn id="5" xr3:uid="{00000000-0010-0000-0400-000005000000}" name="MODALITE" dataDxfId="103" totalsRowDxfId="102"/>
    <tableColumn id="6" xr3:uid="{00000000-0010-0000-0400-000006000000}" name="CREDITATION" totalsRowFunction="sum" dataDxfId="101" totalsRowDxfId="88"/>
    <tableColumn id="7" xr3:uid="{00000000-0010-0000-0400-000007000000}" name="APPROVISIONNMENT" totalsRowFunction="sum" dataDxfId="100" totalsRowDxfId="87"/>
    <tableColumn id="8" xr3:uid="{00000000-0010-0000-0400-000008000000}" name="STATUT" dataDxfId="99" totalsRowDxfId="98"/>
    <tableColumn id="10" xr3:uid="{00000000-0010-0000-0400-00000A000000}" name="RESPONSABLE2" dataDxfId="97" totalsRowDxfId="9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B3B21A-DE70-4CAD-ACFD-46EAFE9C3709}" name="Tableau9" displayName="Tableau9" ref="B4:F11" totalsRowShown="0">
  <autoFilter ref="B4:F11" xr:uid="{B5B3B21A-DE70-4CAD-ACFD-46EAFE9C3709}"/>
  <sortState xmlns:xlrd2="http://schemas.microsoft.com/office/spreadsheetml/2017/richdata2" ref="B5:F11">
    <sortCondition ref="B4:B11"/>
  </sortState>
  <tableColumns count="5">
    <tableColumn id="1" xr3:uid="{DB68DE40-19E7-4A47-8F7D-7135E61EAB3D}" name="Colonne1"/>
    <tableColumn id="2" xr3:uid="{A93A4309-3C0C-4316-B8E1-02B0C1AEBED5}" name="Colonne2"/>
    <tableColumn id="3" xr3:uid="{3CC8AC00-0AB0-47D1-B023-FAB198543A65}" name="USD"/>
    <tableColumn id="4" xr3:uid="{EAA128A1-5A85-4158-8DEC-C1839D664207}" name="Colonne3" dataDxfId="127"/>
    <tableColumn id="5" xr3:uid="{CB214C01-39FD-4F2A-BA59-990D3497F992}" name="CDF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6D6A9A-B3DA-4C88-A5BF-46264CD710C0}" name="Tableau11" displayName="Tableau11" ref="B13:F20" totalsRowShown="0">
  <autoFilter ref="B13:F20" xr:uid="{6D6D6A9A-B3DA-4C88-A5BF-46264CD710C0}"/>
  <sortState xmlns:xlrd2="http://schemas.microsoft.com/office/spreadsheetml/2017/richdata2" ref="B14:F20">
    <sortCondition ref="B13:B20"/>
  </sortState>
  <tableColumns count="5">
    <tableColumn id="1" xr3:uid="{FCCFE383-C141-488F-890B-54689384104E}" name="Colonne1"/>
    <tableColumn id="2" xr3:uid="{DE825243-7D0E-435A-A8CB-F50F337AAA5C}" name="Colonne2"/>
    <tableColumn id="3" xr3:uid="{7C33B887-8443-4202-9215-382537A3050B}" name="USD"/>
    <tableColumn id="4" xr3:uid="{BD35C518-406B-4B2D-8F4E-4A8660833890}" name="Colonne3"/>
    <tableColumn id="5" xr3:uid="{82B787DB-F721-4A6A-9FAF-593D59DDD1B4}" name="CDF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0D0C817-1ECC-435A-B7FC-2BABD72C93F7}" name="Tableau12" displayName="Tableau12" ref="B22:F29" totalsRowShown="0">
  <autoFilter ref="B22:F29" xr:uid="{A0D0C817-1ECC-435A-B7FC-2BABD72C93F7}"/>
  <sortState xmlns:xlrd2="http://schemas.microsoft.com/office/spreadsheetml/2017/richdata2" ref="B23:F29">
    <sortCondition ref="B22:B29"/>
  </sortState>
  <tableColumns count="5">
    <tableColumn id="1" xr3:uid="{AB8280B3-F40B-46F7-ACCB-8469602532E1}" name="Colonne1"/>
    <tableColumn id="2" xr3:uid="{57C25282-302B-4EEA-B2C5-ADF2627CD851}" name="Colonne2"/>
    <tableColumn id="3" xr3:uid="{03EBB9D5-1C5D-4698-A902-6D61336EBFC4}" name="USD"/>
    <tableColumn id="4" xr3:uid="{AA5D8C66-961F-49A6-8055-4B085BBFB666}" name="Colonne3"/>
    <tableColumn id="5" xr3:uid="{DA04AFAF-539B-4636-A32A-3D6ADAD33532}" name="CDF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08205-D3EB-4357-BA9E-F341325CC692}" name="Tableau1" displayName="Tableau1" ref="A2:CG10" totalsRowShown="0" headerRowDxfId="0" dataDxfId="85">
  <autoFilter ref="A2:CG10" xr:uid="{02762DD0-F557-4F54-999D-40AF43AA607C}"/>
  <sortState xmlns:xlrd2="http://schemas.microsoft.com/office/spreadsheetml/2017/richdata2" ref="A3:CG9">
    <sortCondition ref="A2:A9"/>
  </sortState>
  <tableColumns count="85">
    <tableColumn id="1" xr3:uid="{BB253B42-73B4-4447-9559-24BE3E37B688}" name="Colonne1" dataDxfId="86"/>
    <tableColumn id="2" xr3:uid="{CF6FD324-7E77-4F16-8E1F-8BB3B4D3F652}" name="CDF" dataDxfId="84">
      <calculatedColumnFormula>SUMIF(Feuil1!$B$5:$F$29,Tableau1[[#This Row],[Colonne1]],Feuil1!$E$5:$E$29)</calculatedColumnFormula>
    </tableColumn>
    <tableColumn id="3" xr3:uid="{70A15B31-3EAA-4B99-981B-94E39757FEE6}" name="USD" dataDxfId="83">
      <calculatedColumnFormula>SUMIF(Feuil1!$B$5:$F$29,Tableau1[[#This Row],[Colonne1]],Feuil1!$C$5:$C$29)</calculatedColumnFormula>
    </tableColumn>
    <tableColumn id="4" xr3:uid="{D85533CF-59AA-4EA1-92CE-E49616AA6454}" name="CDF2" dataDxfId="82"/>
    <tableColumn id="5" xr3:uid="{E7E02411-5ACD-47E1-9F48-905FB2F7E132}" name="USD3" dataDxfId="81"/>
    <tableColumn id="6" xr3:uid="{2C682D4E-BD10-4136-8D92-B91DE763B5F8}" name="CDF4" dataDxfId="80"/>
    <tableColumn id="7" xr3:uid="{012958DC-618D-4BA3-A1D9-2DBE19193A62}" name="USD5" dataDxfId="79"/>
    <tableColumn id="8" xr3:uid="{30F255DC-13B9-446B-A095-24DBBD6E101F}" name="CDF6" dataDxfId="78"/>
    <tableColumn id="9" xr3:uid="{98594522-141B-43E5-AB53-546048DAF8A6}" name="USD7" dataDxfId="77"/>
    <tableColumn id="10" xr3:uid="{890A14E5-2D45-48E8-AD72-E14E9EF40530}" name="CDF7" dataDxfId="76"/>
    <tableColumn id="11" xr3:uid="{8B13921C-1F26-4299-BDE1-AB8BF8C69940}" name="USD8" dataDxfId="75"/>
    <tableColumn id="12" xr3:uid="{33C93055-39F4-48A8-B897-8E800DC7DE50}" name="CDF8" dataDxfId="74"/>
    <tableColumn id="13" xr3:uid="{7C06590A-A7E8-4A5F-A77D-B9D20D592654}" name="USD9" dataDxfId="73"/>
    <tableColumn id="14" xr3:uid="{81155EBD-ACFF-452C-BB34-9EB7B0370E0A}" name="CDF9" dataDxfId="72"/>
    <tableColumn id="15" xr3:uid="{D17DE42F-3436-4AE2-ABA8-B5F4A646BEA5}" name="USD10" dataDxfId="71"/>
    <tableColumn id="16" xr3:uid="{1B16A05A-E998-4D59-B41B-8DDD77B9E7C0}" name="CDF10" dataDxfId="70"/>
    <tableColumn id="17" xr3:uid="{7BF20CB8-20E2-4223-A31A-FE3CA8B7D666}" name="USD11" dataDxfId="69"/>
    <tableColumn id="18" xr3:uid="{753DE6E4-B313-406F-9065-3AB6F407B9B7}" name="CDF11" dataDxfId="68"/>
    <tableColumn id="19" xr3:uid="{0BB5FD14-59AD-46DA-928C-C8934A5C9F88}" name="USD12" dataDxfId="67"/>
    <tableColumn id="20" xr3:uid="{1343E065-03D5-47C7-8C29-57567AFF7B2D}" name="CDF12" dataDxfId="66"/>
    <tableColumn id="21" xr3:uid="{E08E711F-8CFF-402E-8B64-1569AC7A019F}" name="USD13" dataDxfId="65"/>
    <tableColumn id="22" xr3:uid="{317C3857-4AEE-4583-B350-B6AD6BBCD2BE}" name="CDF13" dataDxfId="64"/>
    <tableColumn id="23" xr3:uid="{88C56DA1-CF62-469A-A2CD-AB004F8D7F8E}" name="USD14" dataDxfId="63"/>
    <tableColumn id="24" xr3:uid="{EF753EBB-E10B-4519-ABC7-B4920E11130F}" name="CDF14" dataDxfId="62"/>
    <tableColumn id="25" xr3:uid="{09CC822A-51CB-442B-A5C8-0D8E41AB8179}" name="USD15" dataDxfId="61"/>
    <tableColumn id="26" xr3:uid="{05F40DDB-A218-4624-B8AC-C85734A17AB8}" name="CDF15" dataDxfId="60"/>
    <tableColumn id="27" xr3:uid="{791864B7-FD1F-4662-8626-A83CC84F24A3}" name="USD16" dataDxfId="59"/>
    <tableColumn id="28" xr3:uid="{FB2F1168-3F42-4F7E-BA55-842569BD6910}" name="CDF16" dataDxfId="58"/>
    <tableColumn id="29" xr3:uid="{40AA1A64-85BD-4DC0-9019-8367863A8A29}" name="USD17" dataDxfId="57"/>
    <tableColumn id="30" xr3:uid="{2FF939B0-45DA-4613-96F0-5B71CBF1F2B0}" name="CDF17" dataDxfId="56"/>
    <tableColumn id="31" xr3:uid="{F7713DCD-909E-4138-BA39-21DA9572F2B5}" name="USD18" dataDxfId="55"/>
    <tableColumn id="32" xr3:uid="{5A1F87CA-A956-4B19-823E-0E3B09B6BAFB}" name="CDF18" dataDxfId="54"/>
    <tableColumn id="33" xr3:uid="{0F63CE93-CBD4-4F21-9877-93D1A24D021D}" name="USD19" dataDxfId="53"/>
    <tableColumn id="34" xr3:uid="{100AE446-9231-4FF8-B54C-6A19E519462D}" name="CDF19" dataDxfId="52"/>
    <tableColumn id="35" xr3:uid="{A135B56A-7C3C-4954-9788-0F12DE653223}" name="USD20" dataDxfId="51"/>
    <tableColumn id="36" xr3:uid="{A858CA4B-4214-4198-BB6F-F639284CB9C7}" name="CDF20" dataDxfId="50"/>
    <tableColumn id="37" xr3:uid="{41D5AF72-A80D-4014-93BB-3FACF1456D71}" name="USD21" dataDxfId="49"/>
    <tableColumn id="38" xr3:uid="{CF4883F4-B0E4-425A-8314-29B537D811ED}" name="CDF21" dataDxfId="48"/>
    <tableColumn id="39" xr3:uid="{B4B2A6D7-7EEF-4674-A84C-6EF33E57F9C3}" name="USD22" dataDxfId="47"/>
    <tableColumn id="40" xr3:uid="{A9E6E5C5-8AB5-4742-A5F4-78D4F7BC68D1}" name="CDF22" dataDxfId="46"/>
    <tableColumn id="41" xr3:uid="{B008E968-4D40-441E-AC62-A906AA9E6997}" name="USD23" dataDxfId="45"/>
    <tableColumn id="42" xr3:uid="{0C0C8DB9-0E12-4F62-8596-16205959A63B}" name="CDF23" dataDxfId="44"/>
    <tableColumn id="43" xr3:uid="{48CF0AAA-61C1-4B51-8D4F-40795DC52568}" name="USD24" dataDxfId="43"/>
    <tableColumn id="44" xr3:uid="{78EC42B7-581C-4DCA-86D5-9F6AB62D946D}" name="CDF24" dataDxfId="42"/>
    <tableColumn id="45" xr3:uid="{D8CAE966-1224-4A61-8312-D17A02DCF7D0}" name="USD25" dataDxfId="41"/>
    <tableColumn id="46" xr3:uid="{F18EFCE0-EEA4-403E-84C2-A8918210A66F}" name="CDF25" dataDxfId="40"/>
    <tableColumn id="47" xr3:uid="{0BDE71BC-61A8-4E50-8AAC-ABF2302EE83E}" name="USD26" dataDxfId="39"/>
    <tableColumn id="48" xr3:uid="{82E4CED3-8F05-4F69-ABA5-54180E147BB2}" name="CDF26" dataDxfId="38"/>
    <tableColumn id="49" xr3:uid="{BEC1F3BC-43AD-4D62-A44F-B2158034D490}" name="USD27" dataDxfId="37"/>
    <tableColumn id="50" xr3:uid="{197A3172-12EC-4D6C-BB19-A6F1B9F7C722}" name="CDF27" dataDxfId="36"/>
    <tableColumn id="51" xr3:uid="{8DAD2529-B867-4442-8A35-BFB040FECA0E}" name="USD28" dataDxfId="35"/>
    <tableColumn id="52" xr3:uid="{62CEFFD5-6833-4E58-B143-32D21EE692F0}" name="CDF28" dataDxfId="34"/>
    <tableColumn id="53" xr3:uid="{6EB9DF65-BFFA-4474-B0C5-71EDE39FDEC1}" name="USD29" dataDxfId="33"/>
    <tableColumn id="54" xr3:uid="{FF9929DD-1F29-4806-93ED-2762E059BE2D}" name="CDF29" dataDxfId="32"/>
    <tableColumn id="55" xr3:uid="{4152AD9F-F238-4D30-A7B6-D60B584001D3}" name="USD30" dataDxfId="31"/>
    <tableColumn id="56" xr3:uid="{D2B73893-54D8-4190-A6DB-D77F6EB34D57}" name="CDF30" dataDxfId="30"/>
    <tableColumn id="57" xr3:uid="{08D8BD17-C3A1-4B37-91F1-7CADE1796273}" name="USD31" dataDxfId="29"/>
    <tableColumn id="58" xr3:uid="{73C59187-A8B7-4597-86A0-972DD8ADB2DD}" name="CDF31" dataDxfId="28"/>
    <tableColumn id="59" xr3:uid="{34D46A32-FEBF-49F9-991D-18924CC50305}" name="USD32" dataDxfId="27"/>
    <tableColumn id="60" xr3:uid="{AC9CA377-F3BE-4909-A1D7-EE94464C85D5}" name="CDF32" dataDxfId="26"/>
    <tableColumn id="61" xr3:uid="{F049CC14-C82B-437F-B21C-3BD4CF3BC184}" name="USD33" dataDxfId="25"/>
    <tableColumn id="62" xr3:uid="{F25D54B0-BCBE-4CE4-8791-1B1A4FDEAC28}" name="CDF33" dataDxfId="24"/>
    <tableColumn id="63" xr3:uid="{F10BB011-E0F6-4701-AF94-C5F822F3627F}" name="USD34" dataDxfId="23"/>
    <tableColumn id="64" xr3:uid="{37F95904-0A18-453F-BF6A-467E6FFB8AB0}" name="CDF34" dataDxfId="22"/>
    <tableColumn id="65" xr3:uid="{90C8C8F3-A538-47C6-A585-B06002ED8081}" name="USD35" dataDxfId="21"/>
    <tableColumn id="66" xr3:uid="{62147F3B-18C1-4B21-B400-FBCEE88B763F}" name="CDF35" dataDxfId="20"/>
    <tableColumn id="67" xr3:uid="{21E74D18-C97E-4A83-8B4E-CAA79220F0B4}" name="USD36" dataDxfId="19"/>
    <tableColumn id="68" xr3:uid="{3FC625E2-9D60-4A40-9CE8-A5DBEEC64DED}" name="CDF36" dataDxfId="18"/>
    <tableColumn id="69" xr3:uid="{63464907-37F3-41A8-8428-5FA60FB21DCD}" name="USD37" dataDxfId="17"/>
    <tableColumn id="70" xr3:uid="{A377A1D1-5A5A-4306-B2A4-C598756B6306}" name="CDF37" dataDxfId="16"/>
    <tableColumn id="71" xr3:uid="{DEF9E839-6B9C-4B77-BE84-7C85A957A79C}" name="USD38" dataDxfId="15"/>
    <tableColumn id="72" xr3:uid="{F06155EF-20C3-4763-A235-DDD3F9EB238A}" name="CDF38" dataDxfId="14"/>
    <tableColumn id="73" xr3:uid="{03A8867D-B596-4606-B5FA-D63B680D741B}" name="USD39" dataDxfId="13"/>
    <tableColumn id="74" xr3:uid="{34333840-D04D-4313-AD2E-A4A01CD4FBDB}" name="CDF39" dataDxfId="12"/>
    <tableColumn id="75" xr3:uid="{C762C638-7803-42C9-98F7-75913FC79018}" name="USD40" dataDxfId="11"/>
    <tableColumn id="76" xr3:uid="{4AB95DC9-48EC-49FB-BC3A-CE7196D43FDA}" name="CDF40" dataDxfId="10"/>
    <tableColumn id="77" xr3:uid="{71C67CEA-2727-402A-A5F4-D4357F863D64}" name="USD41" dataDxfId="9"/>
    <tableColumn id="78" xr3:uid="{2140F345-D2A3-46A7-B967-D2E5840638F6}" name="CDF41" dataDxfId="8"/>
    <tableColumn id="79" xr3:uid="{AA046368-FF98-4333-B403-6A6A95CBC2EF}" name="USD42" dataDxfId="7"/>
    <tableColumn id="80" xr3:uid="{4C37D695-E595-408A-8AC0-B5DA1A7525E4}" name="CDF42" dataDxfId="6"/>
    <tableColumn id="81" xr3:uid="{E3930D80-EE41-4E31-9470-B99D1755023A}" name="USD43" dataDxfId="5"/>
    <tableColumn id="82" xr3:uid="{5E7457A4-3C2D-4390-80CF-B0C15EBB87B6}" name="CDF43" dataDxfId="4"/>
    <tableColumn id="83" xr3:uid="{D1DCFDBF-49D6-49B6-9682-D83E23155387}" name="USD44" dataDxfId="3"/>
    <tableColumn id="84" xr3:uid="{A99BC011-C076-4CB5-875D-8ECA5C71EECB}" name="CDF44" dataDxfId="2"/>
    <tableColumn id="85" xr3:uid="{403FBCFF-DED5-40B4-BA3B-FDFE5A5F152B}" name="USD4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767"/>
  <sheetViews>
    <sheetView topLeftCell="A139" workbookViewId="0">
      <selection activeCell="B228" sqref="B228"/>
    </sheetView>
  </sheetViews>
  <sheetFormatPr baseColWidth="10" defaultRowHeight="14.5" x14ac:dyDescent="0.35"/>
  <cols>
    <col min="2" max="2" width="32.1796875" customWidth="1"/>
    <col min="3" max="3" width="16.81640625" customWidth="1"/>
    <col min="6" max="6" width="3.453125" customWidth="1"/>
    <col min="7" max="7" width="16.54296875" customWidth="1"/>
    <col min="8" max="8" width="14.54296875" customWidth="1"/>
    <col min="10" max="10" width="21.7265625" customWidth="1"/>
    <col min="12" max="12" width="12" customWidth="1"/>
    <col min="13" max="13" width="45.453125" customWidth="1"/>
  </cols>
  <sheetData>
    <row r="2" spans="1:13" ht="15.5" x14ac:dyDescent="0.35">
      <c r="A2" t="s">
        <v>12</v>
      </c>
      <c r="B2" t="s">
        <v>140</v>
      </c>
      <c r="C2" t="s">
        <v>3</v>
      </c>
      <c r="E2" t="s">
        <v>253</v>
      </c>
      <c r="G2" s="39" t="s">
        <v>256</v>
      </c>
      <c r="H2" t="s">
        <v>0</v>
      </c>
      <c r="J2" t="s">
        <v>18</v>
      </c>
      <c r="L2" s="7" t="s">
        <v>236</v>
      </c>
      <c r="M2" s="11"/>
    </row>
    <row r="3" spans="1:13" x14ac:dyDescent="0.35">
      <c r="A3" s="1">
        <v>32928</v>
      </c>
      <c r="B3" s="3" t="s">
        <v>39</v>
      </c>
      <c r="C3" t="s">
        <v>4</v>
      </c>
      <c r="E3" t="s">
        <v>254</v>
      </c>
      <c r="G3" s="40">
        <v>46199</v>
      </c>
      <c r="H3" t="s">
        <v>14</v>
      </c>
      <c r="J3" t="s">
        <v>16</v>
      </c>
      <c r="L3" s="8" t="s">
        <v>230</v>
      </c>
      <c r="M3" s="9" t="s">
        <v>237</v>
      </c>
    </row>
    <row r="4" spans="1:13" x14ac:dyDescent="0.35">
      <c r="A4" s="1">
        <v>33056</v>
      </c>
      <c r="B4" s="1" t="s">
        <v>40</v>
      </c>
      <c r="C4" t="s">
        <v>5</v>
      </c>
      <c r="E4" t="s">
        <v>15</v>
      </c>
      <c r="G4" s="40">
        <f>G3+1</f>
        <v>46200</v>
      </c>
      <c r="H4" t="s">
        <v>15</v>
      </c>
      <c r="J4" t="s">
        <v>17</v>
      </c>
      <c r="L4" s="8" t="s">
        <v>231</v>
      </c>
      <c r="M4" s="10" t="s">
        <v>238</v>
      </c>
    </row>
    <row r="5" spans="1:13" x14ac:dyDescent="0.35">
      <c r="A5" s="1">
        <v>34595</v>
      </c>
      <c r="B5" s="46" t="s">
        <v>141</v>
      </c>
      <c r="C5" t="s">
        <v>6</v>
      </c>
      <c r="G5" s="40">
        <f t="shared" ref="G5:G68" si="0">G4+1</f>
        <v>46201</v>
      </c>
      <c r="J5" t="s">
        <v>19</v>
      </c>
      <c r="L5" s="8" t="s">
        <v>232</v>
      </c>
      <c r="M5" s="10" t="s">
        <v>239</v>
      </c>
    </row>
    <row r="6" spans="1:13" x14ac:dyDescent="0.35">
      <c r="A6" s="41">
        <v>34597</v>
      </c>
      <c r="B6" s="42" t="s">
        <v>258</v>
      </c>
      <c r="C6" t="s">
        <v>7</v>
      </c>
      <c r="G6" s="40">
        <f t="shared" si="0"/>
        <v>46202</v>
      </c>
      <c r="L6" s="8" t="s">
        <v>233</v>
      </c>
      <c r="M6" s="10" t="s">
        <v>240</v>
      </c>
    </row>
    <row r="7" spans="1:13" x14ac:dyDescent="0.35">
      <c r="A7" s="1">
        <v>34598</v>
      </c>
      <c r="B7" s="47" t="s">
        <v>142</v>
      </c>
      <c r="C7" t="s">
        <v>8</v>
      </c>
      <c r="G7" s="40">
        <f t="shared" si="0"/>
        <v>46203</v>
      </c>
      <c r="L7" s="8" t="s">
        <v>234</v>
      </c>
      <c r="M7" s="10" t="s">
        <v>241</v>
      </c>
    </row>
    <row r="8" spans="1:13" x14ac:dyDescent="0.35">
      <c r="A8" s="1">
        <v>36112</v>
      </c>
      <c r="B8" s="1" t="s">
        <v>41</v>
      </c>
      <c r="C8" t="s">
        <v>9</v>
      </c>
      <c r="G8" s="40">
        <f t="shared" si="0"/>
        <v>46204</v>
      </c>
      <c r="L8" s="8" t="s">
        <v>235</v>
      </c>
      <c r="M8" s="9" t="s">
        <v>242</v>
      </c>
    </row>
    <row r="9" spans="1:13" x14ac:dyDescent="0.35">
      <c r="A9" s="44">
        <v>36272</v>
      </c>
      <c r="B9" s="48" t="s">
        <v>261</v>
      </c>
      <c r="C9" t="s">
        <v>10</v>
      </c>
      <c r="G9" s="40">
        <f t="shared" si="0"/>
        <v>46205</v>
      </c>
    </row>
    <row r="10" spans="1:13" x14ac:dyDescent="0.35">
      <c r="A10" s="1">
        <v>36429</v>
      </c>
      <c r="B10" s="47" t="s">
        <v>143</v>
      </c>
      <c r="C10" t="s">
        <v>19</v>
      </c>
      <c r="G10" s="40">
        <f t="shared" si="0"/>
        <v>46206</v>
      </c>
    </row>
    <row r="11" spans="1:13" x14ac:dyDescent="0.35">
      <c r="A11" s="1">
        <v>36430</v>
      </c>
      <c r="B11" s="1" t="s">
        <v>42</v>
      </c>
      <c r="G11" s="40">
        <f t="shared" si="0"/>
        <v>46207</v>
      </c>
    </row>
    <row r="12" spans="1:13" x14ac:dyDescent="0.35">
      <c r="A12" s="1">
        <v>36431</v>
      </c>
      <c r="B12" s="1" t="s">
        <v>43</v>
      </c>
      <c r="G12" s="40">
        <f t="shared" si="0"/>
        <v>46208</v>
      </c>
    </row>
    <row r="13" spans="1:13" x14ac:dyDescent="0.35">
      <c r="A13" s="1">
        <v>36433</v>
      </c>
      <c r="B13" s="1" t="s">
        <v>44</v>
      </c>
      <c r="G13" s="40">
        <f t="shared" si="0"/>
        <v>46209</v>
      </c>
    </row>
    <row r="14" spans="1:13" x14ac:dyDescent="0.35">
      <c r="A14" s="1">
        <v>36434</v>
      </c>
      <c r="B14" s="47" t="s">
        <v>144</v>
      </c>
      <c r="G14" s="40">
        <f t="shared" si="0"/>
        <v>46210</v>
      </c>
    </row>
    <row r="15" spans="1:13" x14ac:dyDescent="0.35">
      <c r="A15" s="1">
        <v>36532</v>
      </c>
      <c r="B15" s="1" t="s">
        <v>45</v>
      </c>
      <c r="G15" s="40">
        <f t="shared" si="0"/>
        <v>46211</v>
      </c>
    </row>
    <row r="16" spans="1:13" x14ac:dyDescent="0.35">
      <c r="A16" s="41">
        <v>36710</v>
      </c>
      <c r="B16" s="42" t="s">
        <v>257</v>
      </c>
      <c r="G16" s="40">
        <f t="shared" si="0"/>
        <v>46212</v>
      </c>
    </row>
    <row r="17" spans="1:7" x14ac:dyDescent="0.35">
      <c r="A17" s="1">
        <v>36711</v>
      </c>
      <c r="B17" s="1" t="s">
        <v>46</v>
      </c>
      <c r="G17" s="40">
        <f t="shared" si="0"/>
        <v>46213</v>
      </c>
    </row>
    <row r="18" spans="1:7" x14ac:dyDescent="0.35">
      <c r="A18" s="1">
        <v>41317</v>
      </c>
      <c r="B18" s="1" t="s">
        <v>47</v>
      </c>
      <c r="G18" s="40">
        <f t="shared" si="0"/>
        <v>46214</v>
      </c>
    </row>
    <row r="19" spans="1:7" x14ac:dyDescent="0.35">
      <c r="A19" s="1">
        <v>41614</v>
      </c>
      <c r="B19" s="1" t="s">
        <v>48</v>
      </c>
      <c r="G19" s="40">
        <f t="shared" si="0"/>
        <v>46215</v>
      </c>
    </row>
    <row r="20" spans="1:7" x14ac:dyDescent="0.35">
      <c r="A20" s="1">
        <v>42152</v>
      </c>
      <c r="B20" s="1" t="s">
        <v>49</v>
      </c>
      <c r="G20" s="40">
        <f t="shared" si="0"/>
        <v>46216</v>
      </c>
    </row>
    <row r="21" spans="1:7" x14ac:dyDescent="0.35">
      <c r="A21" s="1">
        <v>42153</v>
      </c>
      <c r="B21" s="1" t="s">
        <v>50</v>
      </c>
      <c r="G21" s="40">
        <f t="shared" si="0"/>
        <v>46217</v>
      </c>
    </row>
    <row r="22" spans="1:7" x14ac:dyDescent="0.35">
      <c r="A22" s="1">
        <v>42931</v>
      </c>
      <c r="B22" s="1" t="s">
        <v>51</v>
      </c>
      <c r="G22" s="40">
        <f t="shared" si="0"/>
        <v>46218</v>
      </c>
    </row>
    <row r="23" spans="1:7" x14ac:dyDescent="0.35">
      <c r="A23" s="1">
        <v>42932</v>
      </c>
      <c r="B23" s="47" t="s">
        <v>145</v>
      </c>
      <c r="G23" s="40">
        <f t="shared" si="0"/>
        <v>46219</v>
      </c>
    </row>
    <row r="24" spans="1:7" x14ac:dyDescent="0.35">
      <c r="A24" s="1">
        <v>44479</v>
      </c>
      <c r="B24" s="46" t="s">
        <v>146</v>
      </c>
      <c r="G24" s="40">
        <f t="shared" si="0"/>
        <v>46220</v>
      </c>
    </row>
    <row r="25" spans="1:7" x14ac:dyDescent="0.35">
      <c r="A25" s="1">
        <v>44481</v>
      </c>
      <c r="B25" s="47" t="s">
        <v>147</v>
      </c>
      <c r="G25" s="40">
        <f t="shared" si="0"/>
        <v>46221</v>
      </c>
    </row>
    <row r="26" spans="1:7" x14ac:dyDescent="0.35">
      <c r="A26" s="1">
        <v>44932</v>
      </c>
      <c r="B26" s="46" t="s">
        <v>148</v>
      </c>
      <c r="G26" s="40">
        <f t="shared" si="0"/>
        <v>46222</v>
      </c>
    </row>
    <row r="27" spans="1:7" x14ac:dyDescent="0.35">
      <c r="A27" s="1">
        <v>48511</v>
      </c>
      <c r="B27" s="47" t="s">
        <v>149</v>
      </c>
      <c r="G27" s="40">
        <f t="shared" si="0"/>
        <v>46223</v>
      </c>
    </row>
    <row r="28" spans="1:7" x14ac:dyDescent="0.35">
      <c r="A28" s="41">
        <v>50621</v>
      </c>
      <c r="B28" s="42" t="s">
        <v>259</v>
      </c>
      <c r="G28" s="40">
        <f t="shared" si="0"/>
        <v>46224</v>
      </c>
    </row>
    <row r="29" spans="1:7" x14ac:dyDescent="0.35">
      <c r="A29" s="1">
        <v>50694</v>
      </c>
      <c r="B29" s="46" t="s">
        <v>150</v>
      </c>
      <c r="G29" s="40">
        <f t="shared" si="0"/>
        <v>46225</v>
      </c>
    </row>
    <row r="30" spans="1:7" x14ac:dyDescent="0.35">
      <c r="A30" s="1">
        <v>51792</v>
      </c>
      <c r="B30" s="47" t="s">
        <v>151</v>
      </c>
      <c r="G30" s="40">
        <f t="shared" si="0"/>
        <v>46226</v>
      </c>
    </row>
    <row r="31" spans="1:7" x14ac:dyDescent="0.35">
      <c r="A31" s="1">
        <v>51898</v>
      </c>
      <c r="B31" s="1" t="s">
        <v>52</v>
      </c>
      <c r="G31" s="40">
        <f t="shared" si="0"/>
        <v>46227</v>
      </c>
    </row>
    <row r="32" spans="1:7" x14ac:dyDescent="0.35">
      <c r="A32" s="1">
        <v>54298</v>
      </c>
      <c r="B32" s="1" t="s">
        <v>53</v>
      </c>
      <c r="G32" s="40">
        <f t="shared" si="0"/>
        <v>46228</v>
      </c>
    </row>
    <row r="33" spans="1:7" x14ac:dyDescent="0.35">
      <c r="A33" s="1">
        <v>55348</v>
      </c>
      <c r="B33" s="1" t="s">
        <v>54</v>
      </c>
      <c r="G33" s="40">
        <f t="shared" si="0"/>
        <v>46229</v>
      </c>
    </row>
    <row r="34" spans="1:7" x14ac:dyDescent="0.35">
      <c r="A34" s="1">
        <v>55349</v>
      </c>
      <c r="B34" s="1" t="s">
        <v>55</v>
      </c>
      <c r="G34" s="40">
        <f t="shared" si="0"/>
        <v>46230</v>
      </c>
    </row>
    <row r="35" spans="1:7" x14ac:dyDescent="0.35">
      <c r="A35" s="1">
        <v>55350</v>
      </c>
      <c r="B35" s="1" t="s">
        <v>56</v>
      </c>
      <c r="G35" s="40">
        <f t="shared" si="0"/>
        <v>46231</v>
      </c>
    </row>
    <row r="36" spans="1:7" x14ac:dyDescent="0.35">
      <c r="A36" s="1">
        <v>55351</v>
      </c>
      <c r="B36" s="1" t="s">
        <v>57</v>
      </c>
      <c r="G36" s="40">
        <f t="shared" si="0"/>
        <v>46232</v>
      </c>
    </row>
    <row r="37" spans="1:7" x14ac:dyDescent="0.35">
      <c r="A37" s="1">
        <v>56633</v>
      </c>
      <c r="B37" s="46" t="s">
        <v>152</v>
      </c>
      <c r="G37" s="40">
        <f t="shared" si="0"/>
        <v>46233</v>
      </c>
    </row>
    <row r="38" spans="1:7" x14ac:dyDescent="0.35">
      <c r="A38" s="1">
        <v>58281</v>
      </c>
      <c r="B38" s="47" t="s">
        <v>153</v>
      </c>
      <c r="G38" s="40">
        <f t="shared" si="0"/>
        <v>46234</v>
      </c>
    </row>
    <row r="39" spans="1:7" x14ac:dyDescent="0.35">
      <c r="A39" s="1">
        <v>58537</v>
      </c>
      <c r="B39" s="1" t="s">
        <v>58</v>
      </c>
      <c r="G39" s="40">
        <f t="shared" si="0"/>
        <v>46235</v>
      </c>
    </row>
    <row r="40" spans="1:7" x14ac:dyDescent="0.35">
      <c r="A40" s="1">
        <v>59057</v>
      </c>
      <c r="B40" s="1" t="s">
        <v>59</v>
      </c>
      <c r="G40" s="40">
        <f t="shared" si="0"/>
        <v>46236</v>
      </c>
    </row>
    <row r="41" spans="1:7" x14ac:dyDescent="0.35">
      <c r="A41" s="1">
        <v>59548</v>
      </c>
      <c r="B41" s="46" t="s">
        <v>154</v>
      </c>
      <c r="G41" s="40">
        <f t="shared" si="0"/>
        <v>46237</v>
      </c>
    </row>
    <row r="42" spans="1:7" x14ac:dyDescent="0.35">
      <c r="A42" s="1">
        <v>60370</v>
      </c>
      <c r="B42" s="47" t="s">
        <v>155</v>
      </c>
      <c r="G42" s="40">
        <f t="shared" si="0"/>
        <v>46238</v>
      </c>
    </row>
    <row r="43" spans="1:7" x14ac:dyDescent="0.35">
      <c r="A43" s="1">
        <v>60371</v>
      </c>
      <c r="B43" s="46" t="s">
        <v>156</v>
      </c>
      <c r="G43" s="40">
        <f t="shared" si="0"/>
        <v>46239</v>
      </c>
    </row>
    <row r="44" spans="1:7" x14ac:dyDescent="0.35">
      <c r="A44" s="1">
        <v>60372</v>
      </c>
      <c r="B44" s="1" t="s">
        <v>60</v>
      </c>
      <c r="G44" s="40">
        <f t="shared" si="0"/>
        <v>46240</v>
      </c>
    </row>
    <row r="45" spans="1:7" x14ac:dyDescent="0.35">
      <c r="A45" s="1">
        <v>60374</v>
      </c>
      <c r="B45" s="46" t="s">
        <v>157</v>
      </c>
      <c r="G45" s="40">
        <f t="shared" si="0"/>
        <v>46241</v>
      </c>
    </row>
    <row r="46" spans="1:7" x14ac:dyDescent="0.35">
      <c r="A46" s="1">
        <v>71084</v>
      </c>
      <c r="B46" s="1" t="s">
        <v>61</v>
      </c>
      <c r="G46" s="40">
        <f t="shared" si="0"/>
        <v>46242</v>
      </c>
    </row>
    <row r="47" spans="1:7" x14ac:dyDescent="0.35">
      <c r="A47" s="1">
        <v>71085</v>
      </c>
      <c r="B47" s="46" t="s">
        <v>158</v>
      </c>
      <c r="G47" s="40">
        <f t="shared" si="0"/>
        <v>46243</v>
      </c>
    </row>
    <row r="48" spans="1:7" x14ac:dyDescent="0.35">
      <c r="A48" s="1">
        <v>71087</v>
      </c>
      <c r="B48" s="1" t="s">
        <v>62</v>
      </c>
      <c r="G48" s="40">
        <f t="shared" si="0"/>
        <v>46244</v>
      </c>
    </row>
    <row r="49" spans="1:7" x14ac:dyDescent="0.35">
      <c r="A49" s="1">
        <v>71088</v>
      </c>
      <c r="B49" s="1" t="s">
        <v>63</v>
      </c>
      <c r="G49" s="40">
        <f t="shared" si="0"/>
        <v>46245</v>
      </c>
    </row>
    <row r="50" spans="1:7" x14ac:dyDescent="0.35">
      <c r="A50" s="1">
        <v>71090</v>
      </c>
      <c r="B50" s="1" t="s">
        <v>64</v>
      </c>
      <c r="G50" s="40">
        <f t="shared" si="0"/>
        <v>46246</v>
      </c>
    </row>
    <row r="51" spans="1:7" x14ac:dyDescent="0.35">
      <c r="A51" s="1">
        <v>71102</v>
      </c>
      <c r="B51" s="1" t="s">
        <v>65</v>
      </c>
      <c r="G51" s="40">
        <f t="shared" si="0"/>
        <v>46247</v>
      </c>
    </row>
    <row r="52" spans="1:7" x14ac:dyDescent="0.35">
      <c r="A52" s="1">
        <v>73343</v>
      </c>
      <c r="B52" s="47" t="s">
        <v>159</v>
      </c>
      <c r="G52" s="40">
        <f t="shared" si="0"/>
        <v>46248</v>
      </c>
    </row>
    <row r="53" spans="1:7" x14ac:dyDescent="0.35">
      <c r="A53" s="1">
        <v>76731</v>
      </c>
      <c r="B53" s="46" t="s">
        <v>160</v>
      </c>
      <c r="G53" s="40">
        <f t="shared" si="0"/>
        <v>46249</v>
      </c>
    </row>
    <row r="54" spans="1:7" x14ac:dyDescent="0.35">
      <c r="A54" s="1">
        <v>79743</v>
      </c>
      <c r="B54" s="1" t="s">
        <v>66</v>
      </c>
      <c r="G54" s="40">
        <f t="shared" si="0"/>
        <v>46250</v>
      </c>
    </row>
    <row r="55" spans="1:7" x14ac:dyDescent="0.35">
      <c r="A55" s="1">
        <v>80263</v>
      </c>
      <c r="B55" s="1" t="s">
        <v>67</v>
      </c>
      <c r="G55" s="40">
        <f t="shared" si="0"/>
        <v>46251</v>
      </c>
    </row>
    <row r="56" spans="1:7" x14ac:dyDescent="0.35">
      <c r="A56" s="1">
        <v>80282</v>
      </c>
      <c r="B56" s="47" t="s">
        <v>161</v>
      </c>
      <c r="G56" s="40">
        <f t="shared" si="0"/>
        <v>46252</v>
      </c>
    </row>
    <row r="57" spans="1:7" x14ac:dyDescent="0.35">
      <c r="A57" s="1">
        <v>80283</v>
      </c>
      <c r="B57" s="1" t="s">
        <v>68</v>
      </c>
      <c r="G57" s="40">
        <f t="shared" si="0"/>
        <v>46253</v>
      </c>
    </row>
    <row r="58" spans="1:7" x14ac:dyDescent="0.35">
      <c r="A58" s="1">
        <v>80558</v>
      </c>
      <c r="B58" s="1" t="s">
        <v>69</v>
      </c>
      <c r="G58" s="40">
        <f t="shared" si="0"/>
        <v>46254</v>
      </c>
    </row>
    <row r="59" spans="1:7" x14ac:dyDescent="0.35">
      <c r="A59" s="1">
        <v>81598</v>
      </c>
      <c r="B59" s="1" t="s">
        <v>70</v>
      </c>
      <c r="G59" s="40">
        <f t="shared" si="0"/>
        <v>46255</v>
      </c>
    </row>
    <row r="60" spans="1:7" x14ac:dyDescent="0.35">
      <c r="A60" s="1">
        <v>84208</v>
      </c>
      <c r="B60" s="1" t="s">
        <v>71</v>
      </c>
      <c r="G60" s="40">
        <f t="shared" si="0"/>
        <v>46256</v>
      </c>
    </row>
    <row r="61" spans="1:7" x14ac:dyDescent="0.35">
      <c r="A61" s="1">
        <v>84318</v>
      </c>
      <c r="B61" s="1" t="s">
        <v>72</v>
      </c>
      <c r="G61" s="40">
        <f t="shared" si="0"/>
        <v>46257</v>
      </c>
    </row>
    <row r="62" spans="1:7" x14ac:dyDescent="0.35">
      <c r="A62" s="1">
        <v>84943</v>
      </c>
      <c r="B62" s="47" t="s">
        <v>162</v>
      </c>
      <c r="G62" s="40">
        <f t="shared" si="0"/>
        <v>46258</v>
      </c>
    </row>
    <row r="63" spans="1:7" x14ac:dyDescent="0.35">
      <c r="A63" s="1">
        <v>84944</v>
      </c>
      <c r="B63" s="46" t="s">
        <v>163</v>
      </c>
      <c r="G63" s="40">
        <f t="shared" si="0"/>
        <v>46259</v>
      </c>
    </row>
    <row r="64" spans="1:7" x14ac:dyDescent="0.35">
      <c r="A64" s="1">
        <v>85180</v>
      </c>
      <c r="B64" s="47" t="s">
        <v>164</v>
      </c>
      <c r="G64" s="40">
        <f t="shared" si="0"/>
        <v>46260</v>
      </c>
    </row>
    <row r="65" spans="1:7" x14ac:dyDescent="0.35">
      <c r="A65" s="1">
        <v>85182</v>
      </c>
      <c r="B65" s="1" t="s">
        <v>73</v>
      </c>
      <c r="G65" s="40">
        <f t="shared" si="0"/>
        <v>46261</v>
      </c>
    </row>
    <row r="66" spans="1:7" x14ac:dyDescent="0.35">
      <c r="A66" s="1">
        <v>85186</v>
      </c>
      <c r="B66" s="1" t="s">
        <v>74</v>
      </c>
      <c r="G66" s="40">
        <f t="shared" si="0"/>
        <v>46262</v>
      </c>
    </row>
    <row r="67" spans="1:7" x14ac:dyDescent="0.35">
      <c r="A67" s="1">
        <v>85189</v>
      </c>
      <c r="B67" s="1" t="s">
        <v>75</v>
      </c>
      <c r="G67" s="40">
        <f t="shared" si="0"/>
        <v>46263</v>
      </c>
    </row>
    <row r="68" spans="1:7" x14ac:dyDescent="0.35">
      <c r="A68" s="1">
        <v>85814</v>
      </c>
      <c r="B68" s="1" t="s">
        <v>76</v>
      </c>
      <c r="G68" s="40">
        <f t="shared" si="0"/>
        <v>46264</v>
      </c>
    </row>
    <row r="69" spans="1:7" x14ac:dyDescent="0.35">
      <c r="A69" s="1">
        <v>85815</v>
      </c>
      <c r="B69" s="46" t="s">
        <v>165</v>
      </c>
      <c r="G69" s="40">
        <f t="shared" ref="G69:G132" si="1">G68+1</f>
        <v>46265</v>
      </c>
    </row>
    <row r="70" spans="1:7" x14ac:dyDescent="0.35">
      <c r="A70" s="1">
        <v>85817</v>
      </c>
      <c r="B70" s="47" t="s">
        <v>166</v>
      </c>
      <c r="G70" s="40">
        <f t="shared" si="1"/>
        <v>46266</v>
      </c>
    </row>
    <row r="71" spans="1:7" x14ac:dyDescent="0.35">
      <c r="A71" s="1">
        <v>85827</v>
      </c>
      <c r="B71" s="1" t="s">
        <v>77</v>
      </c>
      <c r="G71" s="40">
        <f t="shared" si="1"/>
        <v>46267</v>
      </c>
    </row>
    <row r="72" spans="1:7" x14ac:dyDescent="0.35">
      <c r="A72" s="1">
        <v>85837</v>
      </c>
      <c r="B72" s="1" t="s">
        <v>80</v>
      </c>
      <c r="G72" s="40">
        <f t="shared" si="1"/>
        <v>46268</v>
      </c>
    </row>
    <row r="73" spans="1:7" x14ac:dyDescent="0.35">
      <c r="A73" s="1">
        <v>87008</v>
      </c>
      <c r="B73" s="47" t="s">
        <v>167</v>
      </c>
      <c r="G73" s="40">
        <f t="shared" si="1"/>
        <v>46269</v>
      </c>
    </row>
    <row r="74" spans="1:7" x14ac:dyDescent="0.35">
      <c r="A74" s="1">
        <v>87009</v>
      </c>
      <c r="B74" s="46" t="s">
        <v>169</v>
      </c>
      <c r="G74" s="40">
        <f t="shared" si="1"/>
        <v>46270</v>
      </c>
    </row>
    <row r="75" spans="1:7" x14ac:dyDescent="0.35">
      <c r="A75" s="1">
        <v>87010</v>
      </c>
      <c r="B75" s="1" t="s">
        <v>78</v>
      </c>
      <c r="G75" s="40">
        <f t="shared" si="1"/>
        <v>46271</v>
      </c>
    </row>
    <row r="76" spans="1:7" x14ac:dyDescent="0.35">
      <c r="A76" s="1">
        <v>87011</v>
      </c>
      <c r="B76" s="47" t="s">
        <v>170</v>
      </c>
      <c r="G76" s="40">
        <f t="shared" si="1"/>
        <v>46272</v>
      </c>
    </row>
    <row r="77" spans="1:7" x14ac:dyDescent="0.35">
      <c r="A77" s="41">
        <v>87012</v>
      </c>
      <c r="B77" s="42" t="s">
        <v>260</v>
      </c>
      <c r="G77" s="40">
        <f t="shared" si="1"/>
        <v>46273</v>
      </c>
    </row>
    <row r="78" spans="1:7" x14ac:dyDescent="0.35">
      <c r="A78" s="1">
        <v>87013</v>
      </c>
      <c r="B78" s="1" t="s">
        <v>79</v>
      </c>
      <c r="G78" s="40">
        <f t="shared" si="1"/>
        <v>46274</v>
      </c>
    </row>
    <row r="79" spans="1:7" x14ac:dyDescent="0.35">
      <c r="A79" s="1">
        <v>87014</v>
      </c>
      <c r="B79" s="46" t="s">
        <v>168</v>
      </c>
      <c r="G79" s="40">
        <f t="shared" si="1"/>
        <v>46275</v>
      </c>
    </row>
    <row r="80" spans="1:7" x14ac:dyDescent="0.35">
      <c r="A80" s="1">
        <v>87494</v>
      </c>
      <c r="B80" s="1" t="s">
        <v>81</v>
      </c>
      <c r="G80" s="40">
        <f t="shared" si="1"/>
        <v>46276</v>
      </c>
    </row>
    <row r="81" spans="1:7" x14ac:dyDescent="0.35">
      <c r="A81" s="1">
        <v>87495</v>
      </c>
      <c r="B81" s="46" t="s">
        <v>171</v>
      </c>
      <c r="G81" s="40">
        <f t="shared" si="1"/>
        <v>46277</v>
      </c>
    </row>
    <row r="82" spans="1:7" x14ac:dyDescent="0.35">
      <c r="A82" s="1">
        <v>87497</v>
      </c>
      <c r="B82" s="47" t="s">
        <v>172</v>
      </c>
      <c r="G82" s="40">
        <f t="shared" si="1"/>
        <v>46278</v>
      </c>
    </row>
    <row r="83" spans="1:7" x14ac:dyDescent="0.35">
      <c r="A83" s="1">
        <v>87498</v>
      </c>
      <c r="B83" s="1" t="s">
        <v>82</v>
      </c>
      <c r="G83" s="40">
        <f t="shared" si="1"/>
        <v>46279</v>
      </c>
    </row>
    <row r="84" spans="1:7" x14ac:dyDescent="0.35">
      <c r="A84" s="1">
        <v>87499</v>
      </c>
      <c r="B84" s="47" t="s">
        <v>173</v>
      </c>
      <c r="G84" s="40">
        <f t="shared" si="1"/>
        <v>46280</v>
      </c>
    </row>
    <row r="85" spans="1:7" x14ac:dyDescent="0.35">
      <c r="A85" s="1">
        <v>87500</v>
      </c>
      <c r="B85" s="1" t="s">
        <v>83</v>
      </c>
      <c r="G85" s="40">
        <f t="shared" si="1"/>
        <v>46281</v>
      </c>
    </row>
    <row r="86" spans="1:7" x14ac:dyDescent="0.35">
      <c r="A86" s="1">
        <v>87503</v>
      </c>
      <c r="B86" s="1" t="s">
        <v>84</v>
      </c>
      <c r="G86" s="40">
        <f t="shared" si="1"/>
        <v>46282</v>
      </c>
    </row>
    <row r="87" spans="1:7" x14ac:dyDescent="0.35">
      <c r="A87" s="1">
        <v>89999</v>
      </c>
      <c r="B87" s="46" t="s">
        <v>174</v>
      </c>
      <c r="G87" s="40">
        <f t="shared" si="1"/>
        <v>46283</v>
      </c>
    </row>
    <row r="88" spans="1:7" x14ac:dyDescent="0.35">
      <c r="A88" s="1">
        <v>90134</v>
      </c>
      <c r="B88" s="1" t="s">
        <v>85</v>
      </c>
      <c r="G88" s="40">
        <f t="shared" si="1"/>
        <v>46284</v>
      </c>
    </row>
    <row r="89" spans="1:7" x14ac:dyDescent="0.35">
      <c r="A89" s="1">
        <v>90135</v>
      </c>
      <c r="B89" s="46" t="s">
        <v>175</v>
      </c>
      <c r="G89" s="40">
        <f t="shared" si="1"/>
        <v>46285</v>
      </c>
    </row>
    <row r="90" spans="1:7" x14ac:dyDescent="0.35">
      <c r="A90" s="1">
        <v>90136</v>
      </c>
      <c r="B90" s="1" t="s">
        <v>86</v>
      </c>
      <c r="G90" s="40">
        <f t="shared" si="1"/>
        <v>46286</v>
      </c>
    </row>
    <row r="91" spans="1:7" x14ac:dyDescent="0.35">
      <c r="A91" s="1">
        <v>90137</v>
      </c>
      <c r="B91" s="1" t="s">
        <v>87</v>
      </c>
      <c r="G91" s="40">
        <f t="shared" si="1"/>
        <v>46287</v>
      </c>
    </row>
    <row r="92" spans="1:7" x14ac:dyDescent="0.35">
      <c r="A92" s="1">
        <v>90141</v>
      </c>
      <c r="B92" s="1" t="s">
        <v>88</v>
      </c>
      <c r="G92" s="40">
        <f t="shared" si="1"/>
        <v>46288</v>
      </c>
    </row>
    <row r="93" spans="1:7" x14ac:dyDescent="0.35">
      <c r="A93" s="1">
        <v>90142</v>
      </c>
      <c r="B93" s="46" t="s">
        <v>176</v>
      </c>
      <c r="G93" s="40">
        <f t="shared" si="1"/>
        <v>46289</v>
      </c>
    </row>
    <row r="94" spans="1:7" x14ac:dyDescent="0.35">
      <c r="A94" s="1">
        <v>90144</v>
      </c>
      <c r="B94" s="47" t="s">
        <v>177</v>
      </c>
      <c r="G94" s="40">
        <f t="shared" si="1"/>
        <v>46290</v>
      </c>
    </row>
    <row r="95" spans="1:7" x14ac:dyDescent="0.35">
      <c r="A95" s="1">
        <v>90145</v>
      </c>
      <c r="B95" s="46" t="s">
        <v>178</v>
      </c>
      <c r="G95" s="40">
        <f t="shared" si="1"/>
        <v>46291</v>
      </c>
    </row>
    <row r="96" spans="1:7" x14ac:dyDescent="0.35">
      <c r="A96" s="1">
        <v>90146</v>
      </c>
      <c r="B96" s="47" t="s">
        <v>179</v>
      </c>
      <c r="G96" s="40">
        <f t="shared" si="1"/>
        <v>46292</v>
      </c>
    </row>
    <row r="97" spans="1:7" x14ac:dyDescent="0.35">
      <c r="A97" s="1">
        <v>90147</v>
      </c>
      <c r="B97" s="46" t="s">
        <v>180</v>
      </c>
      <c r="G97" s="40">
        <f t="shared" si="1"/>
        <v>46293</v>
      </c>
    </row>
    <row r="98" spans="1:7" x14ac:dyDescent="0.35">
      <c r="A98" s="1">
        <v>90148</v>
      </c>
      <c r="B98" s="47" t="s">
        <v>181</v>
      </c>
      <c r="G98" s="40">
        <f t="shared" si="1"/>
        <v>46294</v>
      </c>
    </row>
    <row r="99" spans="1:7" x14ac:dyDescent="0.35">
      <c r="A99" s="1">
        <v>90150</v>
      </c>
      <c r="B99" s="46" t="s">
        <v>182</v>
      </c>
      <c r="G99" s="40">
        <f t="shared" si="1"/>
        <v>46295</v>
      </c>
    </row>
    <row r="100" spans="1:7" x14ac:dyDescent="0.35">
      <c r="A100" s="1">
        <v>90151</v>
      </c>
      <c r="B100" s="1" t="s">
        <v>89</v>
      </c>
      <c r="G100" s="40">
        <f t="shared" si="1"/>
        <v>46296</v>
      </c>
    </row>
    <row r="101" spans="1:7" x14ac:dyDescent="0.35">
      <c r="A101" s="1">
        <v>90152</v>
      </c>
      <c r="B101" s="1" t="s">
        <v>90</v>
      </c>
      <c r="G101" s="40">
        <f t="shared" si="1"/>
        <v>46297</v>
      </c>
    </row>
    <row r="102" spans="1:7" x14ac:dyDescent="0.35">
      <c r="A102" s="1">
        <v>90155</v>
      </c>
      <c r="B102" s="1" t="s">
        <v>91</v>
      </c>
      <c r="G102" s="40">
        <f t="shared" si="1"/>
        <v>46298</v>
      </c>
    </row>
    <row r="103" spans="1:7" x14ac:dyDescent="0.35">
      <c r="A103" s="1">
        <v>90156</v>
      </c>
      <c r="B103" s="1" t="s">
        <v>92</v>
      </c>
      <c r="G103" s="40">
        <f t="shared" si="1"/>
        <v>46299</v>
      </c>
    </row>
    <row r="104" spans="1:7" x14ac:dyDescent="0.35">
      <c r="A104" s="1">
        <v>90157</v>
      </c>
      <c r="B104" s="47" t="s">
        <v>183</v>
      </c>
      <c r="G104" s="40">
        <f t="shared" si="1"/>
        <v>46300</v>
      </c>
    </row>
    <row r="105" spans="1:7" x14ac:dyDescent="0.35">
      <c r="A105" s="1">
        <v>90158</v>
      </c>
      <c r="B105" s="46" t="s">
        <v>184</v>
      </c>
      <c r="G105" s="40">
        <f t="shared" si="1"/>
        <v>46301</v>
      </c>
    </row>
    <row r="106" spans="1:7" x14ac:dyDescent="0.35">
      <c r="A106" s="1">
        <v>90160</v>
      </c>
      <c r="B106" s="1" t="s">
        <v>93</v>
      </c>
      <c r="G106" s="40">
        <f t="shared" si="1"/>
        <v>46302</v>
      </c>
    </row>
    <row r="107" spans="1:7" x14ac:dyDescent="0.35">
      <c r="A107" s="1">
        <v>90161</v>
      </c>
      <c r="B107" s="46" t="s">
        <v>185</v>
      </c>
      <c r="G107" s="40">
        <f t="shared" si="1"/>
        <v>46303</v>
      </c>
    </row>
    <row r="108" spans="1:7" x14ac:dyDescent="0.35">
      <c r="A108" s="1">
        <v>90162</v>
      </c>
      <c r="B108" s="1" t="s">
        <v>94</v>
      </c>
      <c r="G108" s="40">
        <f t="shared" si="1"/>
        <v>46304</v>
      </c>
    </row>
    <row r="109" spans="1:7" x14ac:dyDescent="0.35">
      <c r="A109" s="1">
        <v>90163</v>
      </c>
      <c r="B109" s="1" t="s">
        <v>95</v>
      </c>
      <c r="G109" s="40">
        <f t="shared" si="1"/>
        <v>46305</v>
      </c>
    </row>
    <row r="110" spans="1:7" x14ac:dyDescent="0.35">
      <c r="A110" s="1">
        <v>90164</v>
      </c>
      <c r="B110" s="1" t="s">
        <v>96</v>
      </c>
      <c r="G110" s="40">
        <f t="shared" si="1"/>
        <v>46306</v>
      </c>
    </row>
    <row r="111" spans="1:7" x14ac:dyDescent="0.35">
      <c r="A111" s="1">
        <v>90166</v>
      </c>
      <c r="B111" s="46" t="s">
        <v>186</v>
      </c>
      <c r="G111" s="40">
        <f t="shared" si="1"/>
        <v>46307</v>
      </c>
    </row>
    <row r="112" spans="1:7" x14ac:dyDescent="0.35">
      <c r="A112" s="1">
        <v>90167</v>
      </c>
      <c r="B112" s="47" t="s">
        <v>187</v>
      </c>
      <c r="G112" s="40">
        <f t="shared" si="1"/>
        <v>46308</v>
      </c>
    </row>
    <row r="113" spans="1:7" x14ac:dyDescent="0.35">
      <c r="A113" s="1">
        <v>90168</v>
      </c>
      <c r="B113" s="1" t="s">
        <v>97</v>
      </c>
      <c r="G113" s="40">
        <f t="shared" si="1"/>
        <v>46309</v>
      </c>
    </row>
    <row r="114" spans="1:7" x14ac:dyDescent="0.35">
      <c r="A114" s="1">
        <v>90169</v>
      </c>
      <c r="B114" s="47" t="s">
        <v>188</v>
      </c>
      <c r="G114" s="40">
        <f t="shared" si="1"/>
        <v>46310</v>
      </c>
    </row>
    <row r="115" spans="1:7" x14ac:dyDescent="0.35">
      <c r="A115" s="1">
        <v>90171</v>
      </c>
      <c r="B115" s="1" t="s">
        <v>98</v>
      </c>
      <c r="G115" s="40">
        <f t="shared" si="1"/>
        <v>46311</v>
      </c>
    </row>
    <row r="116" spans="1:7" x14ac:dyDescent="0.35">
      <c r="A116" s="1">
        <v>90172</v>
      </c>
      <c r="B116" s="47" t="s">
        <v>189</v>
      </c>
      <c r="G116" s="40">
        <f t="shared" si="1"/>
        <v>46312</v>
      </c>
    </row>
    <row r="117" spans="1:7" x14ac:dyDescent="0.35">
      <c r="A117" s="1">
        <v>90173</v>
      </c>
      <c r="B117" s="1" t="s">
        <v>99</v>
      </c>
      <c r="G117" s="40">
        <f t="shared" si="1"/>
        <v>46313</v>
      </c>
    </row>
    <row r="118" spans="1:7" x14ac:dyDescent="0.35">
      <c r="A118" s="1">
        <v>90174</v>
      </c>
      <c r="B118" s="1" t="s">
        <v>100</v>
      </c>
      <c r="G118" s="40">
        <f t="shared" si="1"/>
        <v>46314</v>
      </c>
    </row>
    <row r="119" spans="1:7" x14ac:dyDescent="0.35">
      <c r="A119" s="1">
        <v>90176</v>
      </c>
      <c r="B119" s="1" t="s">
        <v>101</v>
      </c>
      <c r="G119" s="40">
        <f t="shared" si="1"/>
        <v>46315</v>
      </c>
    </row>
    <row r="120" spans="1:7" x14ac:dyDescent="0.35">
      <c r="A120" s="1">
        <v>90177</v>
      </c>
      <c r="B120" s="1" t="s">
        <v>102</v>
      </c>
      <c r="G120" s="40">
        <f t="shared" si="1"/>
        <v>46316</v>
      </c>
    </row>
    <row r="121" spans="1:7" x14ac:dyDescent="0.35">
      <c r="A121" s="1">
        <v>90180</v>
      </c>
      <c r="B121" s="1" t="s">
        <v>103</v>
      </c>
      <c r="G121" s="40">
        <f t="shared" si="1"/>
        <v>46317</v>
      </c>
    </row>
    <row r="122" spans="1:7" x14ac:dyDescent="0.35">
      <c r="A122" s="1">
        <v>90181</v>
      </c>
      <c r="B122" s="45" t="s">
        <v>104</v>
      </c>
      <c r="G122" s="40">
        <f t="shared" si="1"/>
        <v>46318</v>
      </c>
    </row>
    <row r="123" spans="1:7" x14ac:dyDescent="0.35">
      <c r="A123" s="1">
        <v>90182</v>
      </c>
      <c r="B123" s="45" t="s">
        <v>105</v>
      </c>
      <c r="G123" s="40">
        <f t="shared" si="1"/>
        <v>46319</v>
      </c>
    </row>
    <row r="124" spans="1:7" x14ac:dyDescent="0.35">
      <c r="A124" s="1">
        <v>90184</v>
      </c>
      <c r="B124" s="45" t="s">
        <v>106</v>
      </c>
      <c r="G124" s="40">
        <f t="shared" si="1"/>
        <v>46320</v>
      </c>
    </row>
    <row r="125" spans="1:7" x14ac:dyDescent="0.35">
      <c r="A125" s="1">
        <v>90185</v>
      </c>
      <c r="B125" s="45" t="s">
        <v>107</v>
      </c>
      <c r="G125" s="40">
        <f t="shared" si="1"/>
        <v>46321</v>
      </c>
    </row>
    <row r="126" spans="1:7" x14ac:dyDescent="0.35">
      <c r="A126" s="1">
        <v>90188</v>
      </c>
      <c r="B126" s="50" t="s">
        <v>108</v>
      </c>
      <c r="G126" s="40">
        <f t="shared" si="1"/>
        <v>46322</v>
      </c>
    </row>
    <row r="127" spans="1:7" x14ac:dyDescent="0.35">
      <c r="A127" s="1">
        <v>90189</v>
      </c>
      <c r="B127" s="6" t="s">
        <v>190</v>
      </c>
      <c r="G127" s="40">
        <f t="shared" si="1"/>
        <v>46323</v>
      </c>
    </row>
    <row r="128" spans="1:7" x14ac:dyDescent="0.35">
      <c r="A128" s="1">
        <v>90191</v>
      </c>
      <c r="B128" s="5" t="s">
        <v>191</v>
      </c>
      <c r="G128" s="40">
        <f t="shared" si="1"/>
        <v>46324</v>
      </c>
    </row>
    <row r="129" spans="1:7" x14ac:dyDescent="0.35">
      <c r="A129" s="1">
        <v>90192</v>
      </c>
      <c r="B129" s="45" t="s">
        <v>109</v>
      </c>
      <c r="G129" s="40">
        <f t="shared" si="1"/>
        <v>46325</v>
      </c>
    </row>
    <row r="130" spans="1:7" x14ac:dyDescent="0.35">
      <c r="A130" s="1">
        <v>91370</v>
      </c>
      <c r="B130" s="5" t="s">
        <v>192</v>
      </c>
      <c r="G130" s="40">
        <f t="shared" si="1"/>
        <v>46326</v>
      </c>
    </row>
    <row r="131" spans="1:7" x14ac:dyDescent="0.35">
      <c r="A131" s="1">
        <v>91373</v>
      </c>
      <c r="B131" s="4" t="s">
        <v>193</v>
      </c>
      <c r="G131" s="40">
        <f t="shared" si="1"/>
        <v>46327</v>
      </c>
    </row>
    <row r="132" spans="1:7" x14ac:dyDescent="0.35">
      <c r="A132" s="1">
        <v>91377</v>
      </c>
      <c r="B132" s="45" t="s">
        <v>110</v>
      </c>
      <c r="G132" s="40">
        <f t="shared" si="1"/>
        <v>46328</v>
      </c>
    </row>
    <row r="133" spans="1:7" x14ac:dyDescent="0.35">
      <c r="A133" s="1">
        <v>91378</v>
      </c>
      <c r="B133" s="4" t="s">
        <v>194</v>
      </c>
      <c r="G133" s="40">
        <f t="shared" ref="G133:G196" si="2">G132+1</f>
        <v>46329</v>
      </c>
    </row>
    <row r="134" spans="1:7" x14ac:dyDescent="0.35">
      <c r="A134" s="1">
        <v>91380</v>
      </c>
      <c r="B134" s="45" t="s">
        <v>111</v>
      </c>
      <c r="G134" s="40">
        <f t="shared" si="2"/>
        <v>46330</v>
      </c>
    </row>
    <row r="135" spans="1:7" x14ac:dyDescent="0.35">
      <c r="A135" s="1">
        <v>91381</v>
      </c>
      <c r="B135" s="45" t="s">
        <v>112</v>
      </c>
      <c r="G135" s="40">
        <f t="shared" si="2"/>
        <v>46331</v>
      </c>
    </row>
    <row r="136" spans="1:7" x14ac:dyDescent="0.35">
      <c r="A136" s="1">
        <v>91382</v>
      </c>
      <c r="B136" s="5" t="s">
        <v>195</v>
      </c>
      <c r="G136" s="40">
        <f t="shared" si="2"/>
        <v>46332</v>
      </c>
    </row>
    <row r="137" spans="1:7" x14ac:dyDescent="0.35">
      <c r="A137" s="1">
        <v>91383</v>
      </c>
      <c r="B137" s="4" t="s">
        <v>196</v>
      </c>
      <c r="G137" s="40">
        <f t="shared" si="2"/>
        <v>46333</v>
      </c>
    </row>
    <row r="138" spans="1:7" x14ac:dyDescent="0.35">
      <c r="A138" s="1">
        <v>91384</v>
      </c>
      <c r="B138" s="5" t="s">
        <v>197</v>
      </c>
      <c r="G138" s="40">
        <f t="shared" si="2"/>
        <v>46334</v>
      </c>
    </row>
    <row r="139" spans="1:7" x14ac:dyDescent="0.35">
      <c r="A139" s="1">
        <v>91385</v>
      </c>
      <c r="B139" s="4" t="s">
        <v>198</v>
      </c>
      <c r="G139" s="40">
        <f t="shared" si="2"/>
        <v>46335</v>
      </c>
    </row>
    <row r="140" spans="1:7" x14ac:dyDescent="0.35">
      <c r="A140" s="1">
        <v>91386</v>
      </c>
      <c r="B140" s="5" t="s">
        <v>199</v>
      </c>
      <c r="G140" s="40">
        <f t="shared" si="2"/>
        <v>46336</v>
      </c>
    </row>
    <row r="141" spans="1:7" x14ac:dyDescent="0.35">
      <c r="A141" s="1">
        <v>91389</v>
      </c>
      <c r="B141" s="45" t="s">
        <v>113</v>
      </c>
      <c r="G141" s="40">
        <f t="shared" si="2"/>
        <v>46337</v>
      </c>
    </row>
    <row r="142" spans="1:7" x14ac:dyDescent="0.35">
      <c r="A142" s="1">
        <v>91392</v>
      </c>
      <c r="B142" s="5" t="s">
        <v>200</v>
      </c>
      <c r="G142" s="40">
        <f t="shared" si="2"/>
        <v>46338</v>
      </c>
    </row>
    <row r="143" spans="1:7" x14ac:dyDescent="0.35">
      <c r="A143" s="1">
        <v>91393</v>
      </c>
      <c r="B143" s="45" t="s">
        <v>114</v>
      </c>
      <c r="G143" s="40">
        <f t="shared" si="2"/>
        <v>46339</v>
      </c>
    </row>
    <row r="144" spans="1:7" x14ac:dyDescent="0.35">
      <c r="A144" s="1">
        <v>91394</v>
      </c>
      <c r="B144" s="5" t="s">
        <v>201</v>
      </c>
      <c r="G144" s="40">
        <f t="shared" si="2"/>
        <v>46340</v>
      </c>
    </row>
    <row r="145" spans="1:7" x14ac:dyDescent="0.35">
      <c r="A145" s="1">
        <v>91397</v>
      </c>
      <c r="B145" s="4" t="s">
        <v>202</v>
      </c>
      <c r="G145" s="40">
        <f t="shared" si="2"/>
        <v>46341</v>
      </c>
    </row>
    <row r="146" spans="1:7" x14ac:dyDescent="0.35">
      <c r="A146" s="1">
        <v>91398</v>
      </c>
      <c r="B146" s="5" t="s">
        <v>203</v>
      </c>
      <c r="G146" s="40">
        <f t="shared" si="2"/>
        <v>46342</v>
      </c>
    </row>
    <row r="147" spans="1:7" x14ac:dyDescent="0.35">
      <c r="A147" s="1">
        <v>91399</v>
      </c>
      <c r="B147" s="45" t="s">
        <v>115</v>
      </c>
      <c r="G147" s="40">
        <f t="shared" si="2"/>
        <v>46343</v>
      </c>
    </row>
    <row r="148" spans="1:7" x14ac:dyDescent="0.35">
      <c r="A148" s="1">
        <v>91400</v>
      </c>
      <c r="B148" s="5" t="s">
        <v>204</v>
      </c>
      <c r="G148" s="40">
        <f t="shared" si="2"/>
        <v>46344</v>
      </c>
    </row>
    <row r="149" spans="1:7" x14ac:dyDescent="0.35">
      <c r="A149" s="1">
        <v>91401</v>
      </c>
      <c r="B149" s="4" t="s">
        <v>203</v>
      </c>
      <c r="G149" s="40">
        <f t="shared" si="2"/>
        <v>46345</v>
      </c>
    </row>
    <row r="150" spans="1:7" x14ac:dyDescent="0.35">
      <c r="A150" s="1">
        <v>91402</v>
      </c>
      <c r="B150" s="45" t="s">
        <v>116</v>
      </c>
      <c r="G150" s="40">
        <f t="shared" si="2"/>
        <v>46346</v>
      </c>
    </row>
    <row r="151" spans="1:7" x14ac:dyDescent="0.35">
      <c r="A151" s="1">
        <v>91404</v>
      </c>
      <c r="B151" s="45" t="s">
        <v>117</v>
      </c>
      <c r="G151" s="40">
        <f t="shared" si="2"/>
        <v>46347</v>
      </c>
    </row>
    <row r="152" spans="1:7" x14ac:dyDescent="0.35">
      <c r="A152" s="1">
        <v>91405</v>
      </c>
      <c r="B152" s="5" t="s">
        <v>205</v>
      </c>
      <c r="G152" s="40">
        <f t="shared" si="2"/>
        <v>46348</v>
      </c>
    </row>
    <row r="153" spans="1:7" x14ac:dyDescent="0.35">
      <c r="A153" s="1">
        <v>91406</v>
      </c>
      <c r="B153" s="4" t="s">
        <v>206</v>
      </c>
      <c r="G153" s="40">
        <f t="shared" si="2"/>
        <v>46349</v>
      </c>
    </row>
    <row r="154" spans="1:7" x14ac:dyDescent="0.35">
      <c r="A154" s="1">
        <v>91407</v>
      </c>
      <c r="B154" s="45" t="s">
        <v>118</v>
      </c>
      <c r="G154" s="40">
        <f t="shared" si="2"/>
        <v>46350</v>
      </c>
    </row>
    <row r="155" spans="1:7" x14ac:dyDescent="0.35">
      <c r="A155" s="1">
        <v>91408</v>
      </c>
      <c r="B155" s="4" t="s">
        <v>207</v>
      </c>
      <c r="G155" s="40">
        <f t="shared" si="2"/>
        <v>46351</v>
      </c>
    </row>
    <row r="156" spans="1:7" x14ac:dyDescent="0.35">
      <c r="A156" s="1">
        <v>91409</v>
      </c>
      <c r="B156" s="5" t="s">
        <v>208</v>
      </c>
      <c r="G156" s="40">
        <f t="shared" si="2"/>
        <v>46352</v>
      </c>
    </row>
    <row r="157" spans="1:7" x14ac:dyDescent="0.35">
      <c r="A157" s="1">
        <v>91410</v>
      </c>
      <c r="B157" s="4" t="s">
        <v>209</v>
      </c>
      <c r="G157" s="40">
        <f t="shared" si="2"/>
        <v>46353</v>
      </c>
    </row>
    <row r="158" spans="1:7" x14ac:dyDescent="0.35">
      <c r="A158" s="1">
        <v>91758</v>
      </c>
      <c r="B158" s="5" t="s">
        <v>210</v>
      </c>
      <c r="G158" s="40">
        <f t="shared" si="2"/>
        <v>46354</v>
      </c>
    </row>
    <row r="159" spans="1:7" x14ac:dyDescent="0.35">
      <c r="A159" s="1">
        <v>91759</v>
      </c>
      <c r="B159" s="4" t="s">
        <v>211</v>
      </c>
      <c r="G159" s="40">
        <f t="shared" si="2"/>
        <v>46355</v>
      </c>
    </row>
    <row r="160" spans="1:7" x14ac:dyDescent="0.35">
      <c r="A160" s="1">
        <v>91766</v>
      </c>
      <c r="B160" s="5" t="s">
        <v>212</v>
      </c>
      <c r="G160" s="40">
        <f t="shared" si="2"/>
        <v>46356</v>
      </c>
    </row>
    <row r="161" spans="1:7" x14ac:dyDescent="0.35">
      <c r="A161" s="1">
        <v>91767</v>
      </c>
      <c r="B161" s="4" t="s">
        <v>213</v>
      </c>
      <c r="G161" s="40">
        <f t="shared" si="2"/>
        <v>46357</v>
      </c>
    </row>
    <row r="162" spans="1:7" x14ac:dyDescent="0.35">
      <c r="A162" s="1">
        <v>91770</v>
      </c>
      <c r="B162" s="5" t="s">
        <v>214</v>
      </c>
      <c r="G162" s="40">
        <f t="shared" si="2"/>
        <v>46358</v>
      </c>
    </row>
    <row r="163" spans="1:7" x14ac:dyDescent="0.35">
      <c r="A163" s="1">
        <v>91775</v>
      </c>
      <c r="B163" s="45" t="s">
        <v>119</v>
      </c>
      <c r="G163" s="40">
        <f t="shared" si="2"/>
        <v>46359</v>
      </c>
    </row>
    <row r="164" spans="1:7" x14ac:dyDescent="0.35">
      <c r="A164" s="1">
        <v>91776</v>
      </c>
      <c r="B164" s="5" t="s">
        <v>215</v>
      </c>
      <c r="G164" s="40">
        <f t="shared" si="2"/>
        <v>46360</v>
      </c>
    </row>
    <row r="165" spans="1:7" x14ac:dyDescent="0.35">
      <c r="A165" s="1">
        <v>92116</v>
      </c>
      <c r="B165" s="4" t="s">
        <v>216</v>
      </c>
      <c r="G165" s="40">
        <f t="shared" si="2"/>
        <v>46361</v>
      </c>
    </row>
    <row r="166" spans="1:7" x14ac:dyDescent="0.35">
      <c r="A166" s="1">
        <v>92117</v>
      </c>
      <c r="B166" s="45" t="s">
        <v>120</v>
      </c>
      <c r="G166" s="40">
        <f t="shared" si="2"/>
        <v>46362</v>
      </c>
    </row>
    <row r="167" spans="1:7" x14ac:dyDescent="0.35">
      <c r="A167" s="1">
        <v>92118</v>
      </c>
      <c r="B167" s="4" t="s">
        <v>217</v>
      </c>
      <c r="G167" s="40">
        <f t="shared" si="2"/>
        <v>46363</v>
      </c>
    </row>
    <row r="168" spans="1:7" x14ac:dyDescent="0.35">
      <c r="A168" s="1">
        <v>92119</v>
      </c>
      <c r="B168" s="45" t="s">
        <v>121</v>
      </c>
      <c r="G168" s="40">
        <f t="shared" si="2"/>
        <v>46364</v>
      </c>
    </row>
    <row r="169" spans="1:7" x14ac:dyDescent="0.35">
      <c r="A169" s="1">
        <v>92120</v>
      </c>
      <c r="B169" s="4" t="s">
        <v>218</v>
      </c>
      <c r="G169" s="40">
        <f t="shared" si="2"/>
        <v>46365</v>
      </c>
    </row>
    <row r="170" spans="1:7" x14ac:dyDescent="0.35">
      <c r="A170" s="1">
        <v>92121</v>
      </c>
      <c r="B170" s="5" t="s">
        <v>219</v>
      </c>
      <c r="G170" s="40">
        <f t="shared" si="2"/>
        <v>46366</v>
      </c>
    </row>
    <row r="171" spans="1:7" x14ac:dyDescent="0.35">
      <c r="A171" s="1">
        <v>92122</v>
      </c>
      <c r="B171" s="45" t="s">
        <v>122</v>
      </c>
      <c r="G171" s="40">
        <f t="shared" si="2"/>
        <v>46367</v>
      </c>
    </row>
    <row r="172" spans="1:7" x14ac:dyDescent="0.35">
      <c r="A172" s="1">
        <v>92123</v>
      </c>
      <c r="B172" s="45" t="s">
        <v>123</v>
      </c>
      <c r="G172" s="40">
        <f t="shared" si="2"/>
        <v>46368</v>
      </c>
    </row>
    <row r="173" spans="1:7" x14ac:dyDescent="0.35">
      <c r="A173" s="1">
        <v>92125</v>
      </c>
      <c r="B173" s="49" t="s">
        <v>220</v>
      </c>
      <c r="G173" s="40">
        <f t="shared" si="2"/>
        <v>46369</v>
      </c>
    </row>
    <row r="174" spans="1:7" x14ac:dyDescent="0.35">
      <c r="A174" s="1">
        <v>92663</v>
      </c>
      <c r="B174" s="45" t="s">
        <v>124</v>
      </c>
      <c r="G174" s="40">
        <f t="shared" si="2"/>
        <v>46370</v>
      </c>
    </row>
    <row r="175" spans="1:7" x14ac:dyDescent="0.35">
      <c r="A175" s="1">
        <v>93199</v>
      </c>
      <c r="B175" s="4" t="s">
        <v>221</v>
      </c>
      <c r="G175" s="40">
        <f t="shared" si="2"/>
        <v>46371</v>
      </c>
    </row>
    <row r="176" spans="1:7" x14ac:dyDescent="0.35">
      <c r="A176" s="1">
        <v>93200</v>
      </c>
      <c r="B176" s="5" t="s">
        <v>222</v>
      </c>
      <c r="G176" s="40">
        <f t="shared" si="2"/>
        <v>46372</v>
      </c>
    </row>
    <row r="177" spans="1:7" x14ac:dyDescent="0.35">
      <c r="A177" s="1">
        <v>93203</v>
      </c>
      <c r="B177" s="4" t="s">
        <v>223</v>
      </c>
      <c r="G177" s="40">
        <f t="shared" si="2"/>
        <v>46373</v>
      </c>
    </row>
    <row r="178" spans="1:7" x14ac:dyDescent="0.35">
      <c r="A178" s="1">
        <v>93938</v>
      </c>
      <c r="B178" s="45" t="s">
        <v>125</v>
      </c>
      <c r="G178" s="40">
        <f t="shared" si="2"/>
        <v>46374</v>
      </c>
    </row>
    <row r="179" spans="1:7" x14ac:dyDescent="0.35">
      <c r="A179" s="1">
        <v>93942</v>
      </c>
      <c r="B179" s="45" t="s">
        <v>126</v>
      </c>
      <c r="G179" s="40">
        <f t="shared" si="2"/>
        <v>46375</v>
      </c>
    </row>
    <row r="180" spans="1:7" x14ac:dyDescent="0.35">
      <c r="A180" s="1">
        <v>93944</v>
      </c>
      <c r="B180" s="45" t="s">
        <v>127</v>
      </c>
      <c r="G180" s="40">
        <f t="shared" si="2"/>
        <v>46376</v>
      </c>
    </row>
    <row r="181" spans="1:7" x14ac:dyDescent="0.35">
      <c r="A181" s="1">
        <v>95816</v>
      </c>
      <c r="B181" s="45" t="s">
        <v>128</v>
      </c>
      <c r="G181" s="40">
        <f t="shared" si="2"/>
        <v>46377</v>
      </c>
    </row>
    <row r="182" spans="1:7" x14ac:dyDescent="0.35">
      <c r="A182" s="1">
        <v>95817</v>
      </c>
      <c r="B182" s="45" t="s">
        <v>129</v>
      </c>
      <c r="G182" s="40">
        <f t="shared" si="2"/>
        <v>46378</v>
      </c>
    </row>
    <row r="183" spans="1:7" x14ac:dyDescent="0.35">
      <c r="A183" s="1">
        <v>95818</v>
      </c>
      <c r="B183" s="45" t="s">
        <v>130</v>
      </c>
      <c r="G183" s="40">
        <f t="shared" si="2"/>
        <v>46379</v>
      </c>
    </row>
    <row r="184" spans="1:7" x14ac:dyDescent="0.35">
      <c r="A184" s="1">
        <v>95819</v>
      </c>
      <c r="B184" s="45" t="s">
        <v>131</v>
      </c>
      <c r="G184" s="40">
        <f t="shared" si="2"/>
        <v>46380</v>
      </c>
    </row>
    <row r="185" spans="1:7" x14ac:dyDescent="0.35">
      <c r="A185" s="1">
        <v>95820</v>
      </c>
      <c r="B185" s="45" t="s">
        <v>132</v>
      </c>
      <c r="G185" s="40">
        <f t="shared" si="2"/>
        <v>46381</v>
      </c>
    </row>
    <row r="186" spans="1:7" x14ac:dyDescent="0.35">
      <c r="A186" s="1">
        <v>95821</v>
      </c>
      <c r="B186" s="5" t="s">
        <v>224</v>
      </c>
      <c r="G186" s="40">
        <f t="shared" si="2"/>
        <v>46382</v>
      </c>
    </row>
    <row r="187" spans="1:7" x14ac:dyDescent="0.35">
      <c r="A187" s="1">
        <v>95822</v>
      </c>
      <c r="B187" s="4" t="s">
        <v>225</v>
      </c>
      <c r="G187" s="40">
        <f t="shared" si="2"/>
        <v>46383</v>
      </c>
    </row>
    <row r="188" spans="1:7" x14ac:dyDescent="0.35">
      <c r="A188" s="1">
        <v>95823</v>
      </c>
      <c r="B188" s="45" t="s">
        <v>133</v>
      </c>
      <c r="G188" s="40">
        <f t="shared" si="2"/>
        <v>46384</v>
      </c>
    </row>
    <row r="189" spans="1:7" x14ac:dyDescent="0.35">
      <c r="A189" s="1">
        <v>95825</v>
      </c>
      <c r="B189" s="45" t="s">
        <v>134</v>
      </c>
      <c r="G189" s="40">
        <f t="shared" si="2"/>
        <v>46385</v>
      </c>
    </row>
    <row r="190" spans="1:7" x14ac:dyDescent="0.35">
      <c r="A190" s="1">
        <v>95827</v>
      </c>
      <c r="B190" s="5" t="s">
        <v>226</v>
      </c>
      <c r="G190" s="40">
        <f t="shared" si="2"/>
        <v>46386</v>
      </c>
    </row>
    <row r="191" spans="1:7" x14ac:dyDescent="0.35">
      <c r="A191" s="1">
        <v>96210</v>
      </c>
      <c r="B191" s="4" t="s">
        <v>227</v>
      </c>
      <c r="G191" s="40">
        <f t="shared" si="2"/>
        <v>46387</v>
      </c>
    </row>
    <row r="192" spans="1:7" x14ac:dyDescent="0.35">
      <c r="A192" s="1">
        <v>96213</v>
      </c>
      <c r="B192" s="45" t="s">
        <v>135</v>
      </c>
      <c r="G192" s="40">
        <f t="shared" si="2"/>
        <v>46388</v>
      </c>
    </row>
    <row r="193" spans="1:7" x14ac:dyDescent="0.35">
      <c r="A193" s="1">
        <v>96214</v>
      </c>
      <c r="B193" s="45" t="s">
        <v>136</v>
      </c>
      <c r="G193" s="40">
        <f t="shared" si="2"/>
        <v>46389</v>
      </c>
    </row>
    <row r="194" spans="1:7" x14ac:dyDescent="0.35">
      <c r="A194" s="1">
        <v>97314</v>
      </c>
      <c r="B194" s="45" t="s">
        <v>137</v>
      </c>
      <c r="G194" s="40">
        <f t="shared" si="2"/>
        <v>46390</v>
      </c>
    </row>
    <row r="195" spans="1:7" x14ac:dyDescent="0.35">
      <c r="A195" s="1">
        <v>97318</v>
      </c>
      <c r="B195" s="45" t="s">
        <v>139</v>
      </c>
      <c r="G195" s="40">
        <f t="shared" si="2"/>
        <v>46391</v>
      </c>
    </row>
    <row r="196" spans="1:7" x14ac:dyDescent="0.35">
      <c r="A196" s="1">
        <v>97319</v>
      </c>
      <c r="B196" s="45" t="s">
        <v>138</v>
      </c>
      <c r="G196" s="40">
        <f t="shared" si="2"/>
        <v>46392</v>
      </c>
    </row>
    <row r="197" spans="1:7" x14ac:dyDescent="0.35">
      <c r="A197" s="1">
        <v>97322</v>
      </c>
      <c r="B197" s="5" t="s">
        <v>228</v>
      </c>
      <c r="G197" s="40">
        <f t="shared" ref="G197:G260" si="3">G196+1</f>
        <v>46393</v>
      </c>
    </row>
    <row r="198" spans="1:7" x14ac:dyDescent="0.35">
      <c r="A198" s="1">
        <v>99337</v>
      </c>
      <c r="B198" s="4" t="s">
        <v>229</v>
      </c>
      <c r="G198" s="40">
        <f t="shared" si="3"/>
        <v>46394</v>
      </c>
    </row>
    <row r="199" spans="1:7" x14ac:dyDescent="0.35">
      <c r="A199" s="1">
        <v>100652</v>
      </c>
      <c r="B199" s="45" t="s">
        <v>21</v>
      </c>
      <c r="G199" s="40">
        <f t="shared" si="3"/>
        <v>46395</v>
      </c>
    </row>
    <row r="200" spans="1:7" x14ac:dyDescent="0.35">
      <c r="A200" s="1">
        <v>102550</v>
      </c>
      <c r="B200" s="45" t="s">
        <v>22</v>
      </c>
      <c r="G200" s="40">
        <f t="shared" si="3"/>
        <v>46396</v>
      </c>
    </row>
    <row r="201" spans="1:7" x14ac:dyDescent="0.35">
      <c r="A201" s="1">
        <v>102554</v>
      </c>
      <c r="B201" s="45" t="s">
        <v>23</v>
      </c>
      <c r="G201" s="40">
        <f t="shared" si="3"/>
        <v>46397</v>
      </c>
    </row>
    <row r="202" spans="1:7" x14ac:dyDescent="0.35">
      <c r="A202" s="1">
        <v>102556</v>
      </c>
      <c r="B202" s="45" t="s">
        <v>24</v>
      </c>
      <c r="G202" s="40">
        <f t="shared" si="3"/>
        <v>46398</v>
      </c>
    </row>
    <row r="203" spans="1:7" x14ac:dyDescent="0.35">
      <c r="A203" s="1">
        <v>103870</v>
      </c>
      <c r="B203" s="45" t="s">
        <v>25</v>
      </c>
      <c r="G203" s="40">
        <f t="shared" si="3"/>
        <v>46399</v>
      </c>
    </row>
    <row r="204" spans="1:7" x14ac:dyDescent="0.35">
      <c r="A204" s="1">
        <v>103896</v>
      </c>
      <c r="B204" s="45" t="s">
        <v>26</v>
      </c>
      <c r="G204" s="40">
        <f t="shared" si="3"/>
        <v>46400</v>
      </c>
    </row>
    <row r="205" spans="1:7" x14ac:dyDescent="0.35">
      <c r="A205" s="1">
        <v>103979</v>
      </c>
      <c r="B205" s="45" t="s">
        <v>27</v>
      </c>
      <c r="G205" s="40">
        <f t="shared" si="3"/>
        <v>46401</v>
      </c>
    </row>
    <row r="206" spans="1:7" x14ac:dyDescent="0.35">
      <c r="A206" s="1">
        <v>103980</v>
      </c>
      <c r="B206" s="45" t="s">
        <v>28</v>
      </c>
      <c r="G206" s="40">
        <f t="shared" si="3"/>
        <v>46402</v>
      </c>
    </row>
    <row r="207" spans="1:7" x14ac:dyDescent="0.35">
      <c r="A207" s="1">
        <v>103992</v>
      </c>
      <c r="B207" s="45" t="s">
        <v>29</v>
      </c>
      <c r="G207" s="40">
        <f t="shared" si="3"/>
        <v>46403</v>
      </c>
    </row>
    <row r="208" spans="1:7" x14ac:dyDescent="0.35">
      <c r="A208" s="1">
        <v>104189</v>
      </c>
      <c r="B208" s="45" t="s">
        <v>30</v>
      </c>
      <c r="G208" s="40">
        <f t="shared" si="3"/>
        <v>46404</v>
      </c>
    </row>
    <row r="209" spans="1:7" x14ac:dyDescent="0.35">
      <c r="A209" s="1">
        <v>104190</v>
      </c>
      <c r="B209" s="45" t="s">
        <v>31</v>
      </c>
      <c r="G209" s="40">
        <f t="shared" si="3"/>
        <v>46405</v>
      </c>
    </row>
    <row r="210" spans="1:7" x14ac:dyDescent="0.35">
      <c r="A210" s="1">
        <v>104292</v>
      </c>
      <c r="B210" s="45" t="s">
        <v>32</v>
      </c>
      <c r="G210" s="40">
        <f t="shared" si="3"/>
        <v>46406</v>
      </c>
    </row>
    <row r="211" spans="1:7" x14ac:dyDescent="0.35">
      <c r="A211" s="2">
        <v>104788</v>
      </c>
      <c r="B211" s="45" t="s">
        <v>33</v>
      </c>
      <c r="G211" s="40">
        <f t="shared" si="3"/>
        <v>46407</v>
      </c>
    </row>
    <row r="212" spans="1:7" x14ac:dyDescent="0.35">
      <c r="A212" s="1">
        <v>104828</v>
      </c>
      <c r="B212" s="1" t="s">
        <v>34</v>
      </c>
      <c r="G212" s="40">
        <f t="shared" si="3"/>
        <v>46408</v>
      </c>
    </row>
    <row r="213" spans="1:7" x14ac:dyDescent="0.35">
      <c r="A213" s="1">
        <v>104875</v>
      </c>
      <c r="B213" s="1" t="s">
        <v>35</v>
      </c>
      <c r="G213" s="40">
        <f t="shared" si="3"/>
        <v>46409</v>
      </c>
    </row>
    <row r="214" spans="1:7" x14ac:dyDescent="0.35">
      <c r="A214" s="1">
        <v>104929</v>
      </c>
      <c r="B214" s="1" t="s">
        <v>36</v>
      </c>
      <c r="G214" s="40">
        <f t="shared" si="3"/>
        <v>46410</v>
      </c>
    </row>
    <row r="215" spans="1:7" x14ac:dyDescent="0.35">
      <c r="A215" s="1">
        <v>105249</v>
      </c>
      <c r="B215" s="1" t="s">
        <v>37</v>
      </c>
      <c r="G215" s="40">
        <f t="shared" si="3"/>
        <v>46411</v>
      </c>
    </row>
    <row r="216" spans="1:7" x14ac:dyDescent="0.35">
      <c r="A216" s="43">
        <v>105533</v>
      </c>
      <c r="B216" s="43" t="s">
        <v>265</v>
      </c>
      <c r="G216" s="40">
        <f t="shared" si="3"/>
        <v>46412</v>
      </c>
    </row>
    <row r="217" spans="1:7" x14ac:dyDescent="0.35">
      <c r="A217" s="2">
        <v>105534</v>
      </c>
      <c r="B217" s="2" t="s">
        <v>38</v>
      </c>
      <c r="G217" s="40">
        <f t="shared" si="3"/>
        <v>46413</v>
      </c>
    </row>
    <row r="218" spans="1:7" x14ac:dyDescent="0.35">
      <c r="A218" s="42">
        <v>106295</v>
      </c>
      <c r="B218" s="42" t="s">
        <v>266</v>
      </c>
      <c r="G218" s="40">
        <f t="shared" si="3"/>
        <v>46414</v>
      </c>
    </row>
    <row r="219" spans="1:7" x14ac:dyDescent="0.35">
      <c r="A219" s="42">
        <v>106301</v>
      </c>
      <c r="B219" s="42" t="s">
        <v>267</v>
      </c>
      <c r="G219" s="40">
        <f t="shared" si="3"/>
        <v>46415</v>
      </c>
    </row>
    <row r="220" spans="1:7" x14ac:dyDescent="0.35">
      <c r="A220" s="42">
        <v>106304</v>
      </c>
      <c r="B220" s="42" t="s">
        <v>268</v>
      </c>
      <c r="G220" s="40">
        <f t="shared" si="3"/>
        <v>46416</v>
      </c>
    </row>
    <row r="221" spans="1:7" x14ac:dyDescent="0.35">
      <c r="A221" s="42">
        <v>106811</v>
      </c>
      <c r="B221" s="42" t="s">
        <v>269</v>
      </c>
      <c r="G221" s="40">
        <f t="shared" si="3"/>
        <v>46417</v>
      </c>
    </row>
    <row r="222" spans="1:7" x14ac:dyDescent="0.35">
      <c r="A222" s="42">
        <v>107116</v>
      </c>
      <c r="B222" s="42" t="s">
        <v>270</v>
      </c>
      <c r="G222" s="40">
        <f t="shared" si="3"/>
        <v>46418</v>
      </c>
    </row>
    <row r="223" spans="1:7" x14ac:dyDescent="0.35">
      <c r="A223" s="42">
        <v>107345</v>
      </c>
      <c r="B223" s="42" t="s">
        <v>271</v>
      </c>
      <c r="G223" s="40">
        <f t="shared" si="3"/>
        <v>46419</v>
      </c>
    </row>
    <row r="224" spans="1:7" x14ac:dyDescent="0.35">
      <c r="A224" s="43">
        <v>107790</v>
      </c>
      <c r="B224" s="80" t="s">
        <v>272</v>
      </c>
      <c r="G224" s="40">
        <f t="shared" si="3"/>
        <v>46420</v>
      </c>
    </row>
    <row r="225" spans="1:7" x14ac:dyDescent="0.35">
      <c r="A225" s="80">
        <v>108550</v>
      </c>
      <c r="B225" s="82" t="s">
        <v>422</v>
      </c>
      <c r="G225" s="40">
        <f t="shared" si="3"/>
        <v>46421</v>
      </c>
    </row>
    <row r="226" spans="1:7" x14ac:dyDescent="0.35">
      <c r="A226" s="80">
        <v>108506</v>
      </c>
      <c r="B226" s="80" t="s">
        <v>414</v>
      </c>
      <c r="G226" s="40">
        <f t="shared" si="3"/>
        <v>46422</v>
      </c>
    </row>
    <row r="227" spans="1:7" x14ac:dyDescent="0.35">
      <c r="A227" s="80">
        <v>104789</v>
      </c>
      <c r="B227" s="80" t="s">
        <v>415</v>
      </c>
      <c r="G227" s="40">
        <f t="shared" si="3"/>
        <v>46423</v>
      </c>
    </row>
    <row r="228" spans="1:7" x14ac:dyDescent="0.35">
      <c r="A228" s="80">
        <v>108553</v>
      </c>
      <c r="B228" s="82" t="s">
        <v>423</v>
      </c>
      <c r="G228" s="40">
        <f t="shared" si="3"/>
        <v>46424</v>
      </c>
    </row>
    <row r="229" spans="1:7" x14ac:dyDescent="0.35">
      <c r="A229" s="80">
        <v>108465</v>
      </c>
      <c r="B229" s="80" t="s">
        <v>416</v>
      </c>
      <c r="G229" s="40">
        <f t="shared" si="3"/>
        <v>46425</v>
      </c>
    </row>
    <row r="230" spans="1:7" x14ac:dyDescent="0.35">
      <c r="A230" s="80">
        <v>108547</v>
      </c>
      <c r="B230" s="80" t="s">
        <v>417</v>
      </c>
      <c r="G230" s="40">
        <f t="shared" si="3"/>
        <v>46426</v>
      </c>
    </row>
    <row r="231" spans="1:7" x14ac:dyDescent="0.35">
      <c r="A231" s="80">
        <v>108020</v>
      </c>
      <c r="B231" s="80" t="s">
        <v>418</v>
      </c>
      <c r="G231" s="40">
        <f t="shared" si="3"/>
        <v>46427</v>
      </c>
    </row>
    <row r="232" spans="1:7" x14ac:dyDescent="0.35">
      <c r="A232" s="80">
        <v>108507</v>
      </c>
      <c r="B232" s="82" t="s">
        <v>424</v>
      </c>
      <c r="G232" s="40">
        <f t="shared" si="3"/>
        <v>46428</v>
      </c>
    </row>
    <row r="233" spans="1:7" x14ac:dyDescent="0.35">
      <c r="A233" s="80">
        <v>108512</v>
      </c>
      <c r="B233" s="82" t="s">
        <v>425</v>
      </c>
      <c r="G233" s="40">
        <f t="shared" si="3"/>
        <v>46429</v>
      </c>
    </row>
    <row r="234" spans="1:7" x14ac:dyDescent="0.35">
      <c r="A234" s="80">
        <v>107995</v>
      </c>
      <c r="B234" s="80" t="s">
        <v>419</v>
      </c>
      <c r="G234" s="40">
        <f t="shared" si="3"/>
        <v>46430</v>
      </c>
    </row>
    <row r="235" spans="1:7" x14ac:dyDescent="0.35">
      <c r="A235" s="80">
        <v>108074</v>
      </c>
      <c r="B235" s="80" t="s">
        <v>420</v>
      </c>
      <c r="G235" s="40">
        <f t="shared" si="3"/>
        <v>46431</v>
      </c>
    </row>
    <row r="236" spans="1:7" x14ac:dyDescent="0.35">
      <c r="A236" s="80">
        <v>102551</v>
      </c>
      <c r="B236" s="80" t="s">
        <v>421</v>
      </c>
      <c r="G236" s="40">
        <f t="shared" si="3"/>
        <v>46432</v>
      </c>
    </row>
    <row r="237" spans="1:7" x14ac:dyDescent="0.35">
      <c r="G237" s="40">
        <f t="shared" si="3"/>
        <v>46433</v>
      </c>
    </row>
    <row r="238" spans="1:7" x14ac:dyDescent="0.35">
      <c r="G238" s="40">
        <f t="shared" si="3"/>
        <v>46434</v>
      </c>
    </row>
    <row r="239" spans="1:7" x14ac:dyDescent="0.35">
      <c r="G239" s="40">
        <f t="shared" si="3"/>
        <v>46435</v>
      </c>
    </row>
    <row r="240" spans="1:7" x14ac:dyDescent="0.35">
      <c r="G240" s="40">
        <f t="shared" si="3"/>
        <v>46436</v>
      </c>
    </row>
    <row r="241" spans="7:7" x14ac:dyDescent="0.35">
      <c r="G241" s="40">
        <f t="shared" si="3"/>
        <v>46437</v>
      </c>
    </row>
    <row r="242" spans="7:7" x14ac:dyDescent="0.35">
      <c r="G242" s="40">
        <f t="shared" si="3"/>
        <v>46438</v>
      </c>
    </row>
    <row r="243" spans="7:7" x14ac:dyDescent="0.35">
      <c r="G243" s="40">
        <f t="shared" si="3"/>
        <v>46439</v>
      </c>
    </row>
    <row r="244" spans="7:7" x14ac:dyDescent="0.35">
      <c r="G244" s="40">
        <f t="shared" si="3"/>
        <v>46440</v>
      </c>
    </row>
    <row r="245" spans="7:7" x14ac:dyDescent="0.35">
      <c r="G245" s="40">
        <f t="shared" si="3"/>
        <v>46441</v>
      </c>
    </row>
    <row r="246" spans="7:7" x14ac:dyDescent="0.35">
      <c r="G246" s="40">
        <f t="shared" si="3"/>
        <v>46442</v>
      </c>
    </row>
    <row r="247" spans="7:7" x14ac:dyDescent="0.35">
      <c r="G247" s="40">
        <f t="shared" si="3"/>
        <v>46443</v>
      </c>
    </row>
    <row r="248" spans="7:7" x14ac:dyDescent="0.35">
      <c r="G248" s="40">
        <f t="shared" si="3"/>
        <v>46444</v>
      </c>
    </row>
    <row r="249" spans="7:7" x14ac:dyDescent="0.35">
      <c r="G249" s="40">
        <f t="shared" si="3"/>
        <v>46445</v>
      </c>
    </row>
    <row r="250" spans="7:7" x14ac:dyDescent="0.35">
      <c r="G250" s="40">
        <f t="shared" si="3"/>
        <v>46446</v>
      </c>
    </row>
    <row r="251" spans="7:7" x14ac:dyDescent="0.35">
      <c r="G251" s="40">
        <f t="shared" si="3"/>
        <v>46447</v>
      </c>
    </row>
    <row r="252" spans="7:7" x14ac:dyDescent="0.35">
      <c r="G252" s="40">
        <f t="shared" si="3"/>
        <v>46448</v>
      </c>
    </row>
    <row r="253" spans="7:7" x14ac:dyDescent="0.35">
      <c r="G253" s="40">
        <f t="shared" si="3"/>
        <v>46449</v>
      </c>
    </row>
    <row r="254" spans="7:7" x14ac:dyDescent="0.35">
      <c r="G254" s="40">
        <f t="shared" si="3"/>
        <v>46450</v>
      </c>
    </row>
    <row r="255" spans="7:7" x14ac:dyDescent="0.35">
      <c r="G255" s="40">
        <f t="shared" si="3"/>
        <v>46451</v>
      </c>
    </row>
    <row r="256" spans="7:7" x14ac:dyDescent="0.35">
      <c r="G256" s="40">
        <f t="shared" si="3"/>
        <v>46452</v>
      </c>
    </row>
    <row r="257" spans="7:7" x14ac:dyDescent="0.35">
      <c r="G257" s="40">
        <f t="shared" si="3"/>
        <v>46453</v>
      </c>
    </row>
    <row r="258" spans="7:7" x14ac:dyDescent="0.35">
      <c r="G258" s="40">
        <f t="shared" si="3"/>
        <v>46454</v>
      </c>
    </row>
    <row r="259" spans="7:7" x14ac:dyDescent="0.35">
      <c r="G259" s="40">
        <f t="shared" si="3"/>
        <v>46455</v>
      </c>
    </row>
    <row r="260" spans="7:7" x14ac:dyDescent="0.35">
      <c r="G260" s="40">
        <f t="shared" si="3"/>
        <v>46456</v>
      </c>
    </row>
    <row r="261" spans="7:7" x14ac:dyDescent="0.35">
      <c r="G261" s="40">
        <f t="shared" ref="G261:G324" si="4">G260+1</f>
        <v>46457</v>
      </c>
    </row>
    <row r="262" spans="7:7" x14ac:dyDescent="0.35">
      <c r="G262" s="40">
        <f t="shared" si="4"/>
        <v>46458</v>
      </c>
    </row>
    <row r="263" spans="7:7" x14ac:dyDescent="0.35">
      <c r="G263" s="40">
        <f t="shared" si="4"/>
        <v>46459</v>
      </c>
    </row>
    <row r="264" spans="7:7" x14ac:dyDescent="0.35">
      <c r="G264" s="40">
        <f t="shared" si="4"/>
        <v>46460</v>
      </c>
    </row>
    <row r="265" spans="7:7" x14ac:dyDescent="0.35">
      <c r="G265" s="40">
        <f t="shared" si="4"/>
        <v>46461</v>
      </c>
    </row>
    <row r="266" spans="7:7" x14ac:dyDescent="0.35">
      <c r="G266" s="40">
        <f t="shared" si="4"/>
        <v>46462</v>
      </c>
    </row>
    <row r="267" spans="7:7" x14ac:dyDescent="0.35">
      <c r="G267" s="40">
        <f t="shared" si="4"/>
        <v>46463</v>
      </c>
    </row>
    <row r="268" spans="7:7" x14ac:dyDescent="0.35">
      <c r="G268" s="40">
        <f t="shared" si="4"/>
        <v>46464</v>
      </c>
    </row>
    <row r="269" spans="7:7" x14ac:dyDescent="0.35">
      <c r="G269" s="40">
        <f t="shared" si="4"/>
        <v>46465</v>
      </c>
    </row>
    <row r="270" spans="7:7" x14ac:dyDescent="0.35">
      <c r="G270" s="40">
        <f t="shared" si="4"/>
        <v>46466</v>
      </c>
    </row>
    <row r="271" spans="7:7" x14ac:dyDescent="0.35">
      <c r="G271" s="40">
        <f t="shared" si="4"/>
        <v>46467</v>
      </c>
    </row>
    <row r="272" spans="7:7" x14ac:dyDescent="0.35">
      <c r="G272" s="40">
        <f t="shared" si="4"/>
        <v>46468</v>
      </c>
    </row>
    <row r="273" spans="7:7" x14ac:dyDescent="0.35">
      <c r="G273" s="40">
        <f t="shared" si="4"/>
        <v>46469</v>
      </c>
    </row>
    <row r="274" spans="7:7" x14ac:dyDescent="0.35">
      <c r="G274" s="40">
        <f t="shared" si="4"/>
        <v>46470</v>
      </c>
    </row>
    <row r="275" spans="7:7" x14ac:dyDescent="0.35">
      <c r="G275" s="40">
        <f t="shared" si="4"/>
        <v>46471</v>
      </c>
    </row>
    <row r="276" spans="7:7" x14ac:dyDescent="0.35">
      <c r="G276" s="40">
        <f t="shared" si="4"/>
        <v>46472</v>
      </c>
    </row>
    <row r="277" spans="7:7" x14ac:dyDescent="0.35">
      <c r="G277" s="40">
        <f t="shared" si="4"/>
        <v>46473</v>
      </c>
    </row>
    <row r="278" spans="7:7" x14ac:dyDescent="0.35">
      <c r="G278" s="40">
        <f t="shared" si="4"/>
        <v>46474</v>
      </c>
    </row>
    <row r="279" spans="7:7" x14ac:dyDescent="0.35">
      <c r="G279" s="40">
        <f t="shared" si="4"/>
        <v>46475</v>
      </c>
    </row>
    <row r="280" spans="7:7" x14ac:dyDescent="0.35">
      <c r="G280" s="40">
        <f t="shared" si="4"/>
        <v>46476</v>
      </c>
    </row>
    <row r="281" spans="7:7" x14ac:dyDescent="0.35">
      <c r="G281" s="40">
        <f t="shared" si="4"/>
        <v>46477</v>
      </c>
    </row>
    <row r="282" spans="7:7" x14ac:dyDescent="0.35">
      <c r="G282" s="40">
        <f t="shared" si="4"/>
        <v>46478</v>
      </c>
    </row>
    <row r="283" spans="7:7" x14ac:dyDescent="0.35">
      <c r="G283" s="40">
        <f t="shared" si="4"/>
        <v>46479</v>
      </c>
    </row>
    <row r="284" spans="7:7" x14ac:dyDescent="0.35">
      <c r="G284" s="40">
        <f t="shared" si="4"/>
        <v>46480</v>
      </c>
    </row>
    <row r="285" spans="7:7" x14ac:dyDescent="0.35">
      <c r="G285" s="40">
        <f t="shared" si="4"/>
        <v>46481</v>
      </c>
    </row>
    <row r="286" spans="7:7" x14ac:dyDescent="0.35">
      <c r="G286" s="40">
        <f t="shared" si="4"/>
        <v>46482</v>
      </c>
    </row>
    <row r="287" spans="7:7" x14ac:dyDescent="0.35">
      <c r="G287" s="40">
        <f t="shared" si="4"/>
        <v>46483</v>
      </c>
    </row>
    <row r="288" spans="7:7" x14ac:dyDescent="0.35">
      <c r="G288" s="40">
        <f t="shared" si="4"/>
        <v>46484</v>
      </c>
    </row>
    <row r="289" spans="7:7" x14ac:dyDescent="0.35">
      <c r="G289" s="40">
        <f t="shared" si="4"/>
        <v>46485</v>
      </c>
    </row>
    <row r="290" spans="7:7" x14ac:dyDescent="0.35">
      <c r="G290" s="40">
        <f t="shared" si="4"/>
        <v>46486</v>
      </c>
    </row>
    <row r="291" spans="7:7" x14ac:dyDescent="0.35">
      <c r="G291" s="40">
        <f t="shared" si="4"/>
        <v>46487</v>
      </c>
    </row>
    <row r="292" spans="7:7" x14ac:dyDescent="0.35">
      <c r="G292" s="40">
        <f t="shared" si="4"/>
        <v>46488</v>
      </c>
    </row>
    <row r="293" spans="7:7" x14ac:dyDescent="0.35">
      <c r="G293" s="40">
        <f t="shared" si="4"/>
        <v>46489</v>
      </c>
    </row>
    <row r="294" spans="7:7" x14ac:dyDescent="0.35">
      <c r="G294" s="40">
        <f t="shared" si="4"/>
        <v>46490</v>
      </c>
    </row>
    <row r="295" spans="7:7" x14ac:dyDescent="0.35">
      <c r="G295" s="40">
        <f t="shared" si="4"/>
        <v>46491</v>
      </c>
    </row>
    <row r="296" spans="7:7" x14ac:dyDescent="0.35">
      <c r="G296" s="40">
        <f t="shared" si="4"/>
        <v>46492</v>
      </c>
    </row>
    <row r="297" spans="7:7" x14ac:dyDescent="0.35">
      <c r="G297" s="40">
        <f t="shared" si="4"/>
        <v>46493</v>
      </c>
    </row>
    <row r="298" spans="7:7" x14ac:dyDescent="0.35">
      <c r="G298" s="40">
        <f t="shared" si="4"/>
        <v>46494</v>
      </c>
    </row>
    <row r="299" spans="7:7" x14ac:dyDescent="0.35">
      <c r="G299" s="40">
        <f t="shared" si="4"/>
        <v>46495</v>
      </c>
    </row>
    <row r="300" spans="7:7" x14ac:dyDescent="0.35">
      <c r="G300" s="40">
        <f t="shared" si="4"/>
        <v>46496</v>
      </c>
    </row>
    <row r="301" spans="7:7" x14ac:dyDescent="0.35">
      <c r="G301" s="40">
        <f t="shared" si="4"/>
        <v>46497</v>
      </c>
    </row>
    <row r="302" spans="7:7" x14ac:dyDescent="0.35">
      <c r="G302" s="40">
        <f t="shared" si="4"/>
        <v>46498</v>
      </c>
    </row>
    <row r="303" spans="7:7" x14ac:dyDescent="0.35">
      <c r="G303" s="40">
        <f t="shared" si="4"/>
        <v>46499</v>
      </c>
    </row>
    <row r="304" spans="7:7" x14ac:dyDescent="0.35">
      <c r="G304" s="40">
        <f t="shared" si="4"/>
        <v>46500</v>
      </c>
    </row>
    <row r="305" spans="7:7" x14ac:dyDescent="0.35">
      <c r="G305" s="40">
        <f t="shared" si="4"/>
        <v>46501</v>
      </c>
    </row>
    <row r="306" spans="7:7" x14ac:dyDescent="0.35">
      <c r="G306" s="40">
        <f t="shared" si="4"/>
        <v>46502</v>
      </c>
    </row>
    <row r="307" spans="7:7" x14ac:dyDescent="0.35">
      <c r="G307" s="40">
        <f t="shared" si="4"/>
        <v>46503</v>
      </c>
    </row>
    <row r="308" spans="7:7" x14ac:dyDescent="0.35">
      <c r="G308" s="40">
        <f t="shared" si="4"/>
        <v>46504</v>
      </c>
    </row>
    <row r="309" spans="7:7" x14ac:dyDescent="0.35">
      <c r="G309" s="40">
        <f t="shared" si="4"/>
        <v>46505</v>
      </c>
    </row>
    <row r="310" spans="7:7" x14ac:dyDescent="0.35">
      <c r="G310" s="40">
        <f t="shared" si="4"/>
        <v>46506</v>
      </c>
    </row>
    <row r="311" spans="7:7" x14ac:dyDescent="0.35">
      <c r="G311" s="40">
        <f t="shared" si="4"/>
        <v>46507</v>
      </c>
    </row>
    <row r="312" spans="7:7" x14ac:dyDescent="0.35">
      <c r="G312" s="40">
        <f t="shared" si="4"/>
        <v>46508</v>
      </c>
    </row>
    <row r="313" spans="7:7" x14ac:dyDescent="0.35">
      <c r="G313" s="40">
        <f t="shared" si="4"/>
        <v>46509</v>
      </c>
    </row>
    <row r="314" spans="7:7" x14ac:dyDescent="0.35">
      <c r="G314" s="40">
        <f t="shared" si="4"/>
        <v>46510</v>
      </c>
    </row>
    <row r="315" spans="7:7" x14ac:dyDescent="0.35">
      <c r="G315" s="40">
        <f t="shared" si="4"/>
        <v>46511</v>
      </c>
    </row>
    <row r="316" spans="7:7" x14ac:dyDescent="0.35">
      <c r="G316" s="40">
        <f t="shared" si="4"/>
        <v>46512</v>
      </c>
    </row>
    <row r="317" spans="7:7" x14ac:dyDescent="0.35">
      <c r="G317" s="40">
        <f t="shared" si="4"/>
        <v>46513</v>
      </c>
    </row>
    <row r="318" spans="7:7" x14ac:dyDescent="0.35">
      <c r="G318" s="40">
        <f t="shared" si="4"/>
        <v>46514</v>
      </c>
    </row>
    <row r="319" spans="7:7" x14ac:dyDescent="0.35">
      <c r="G319" s="40">
        <f t="shared" si="4"/>
        <v>46515</v>
      </c>
    </row>
    <row r="320" spans="7:7" x14ac:dyDescent="0.35">
      <c r="G320" s="40">
        <f t="shared" si="4"/>
        <v>46516</v>
      </c>
    </row>
    <row r="321" spans="7:7" x14ac:dyDescent="0.35">
      <c r="G321" s="40">
        <f t="shared" si="4"/>
        <v>46517</v>
      </c>
    </row>
    <row r="322" spans="7:7" x14ac:dyDescent="0.35">
      <c r="G322" s="40">
        <f t="shared" si="4"/>
        <v>46518</v>
      </c>
    </row>
    <row r="323" spans="7:7" x14ac:dyDescent="0.35">
      <c r="G323" s="40">
        <f t="shared" si="4"/>
        <v>46519</v>
      </c>
    </row>
    <row r="324" spans="7:7" x14ac:dyDescent="0.35">
      <c r="G324" s="40">
        <f t="shared" si="4"/>
        <v>46520</v>
      </c>
    </row>
    <row r="325" spans="7:7" x14ac:dyDescent="0.35">
      <c r="G325" s="40">
        <f t="shared" ref="G325:G388" si="5">G324+1</f>
        <v>46521</v>
      </c>
    </row>
    <row r="326" spans="7:7" x14ac:dyDescent="0.35">
      <c r="G326" s="40">
        <f t="shared" si="5"/>
        <v>46522</v>
      </c>
    </row>
    <row r="327" spans="7:7" x14ac:dyDescent="0.35">
      <c r="G327" s="40">
        <f t="shared" si="5"/>
        <v>46523</v>
      </c>
    </row>
    <row r="328" spans="7:7" x14ac:dyDescent="0.35">
      <c r="G328" s="40">
        <f t="shared" si="5"/>
        <v>46524</v>
      </c>
    </row>
    <row r="329" spans="7:7" x14ac:dyDescent="0.35">
      <c r="G329" s="40">
        <f t="shared" si="5"/>
        <v>46525</v>
      </c>
    </row>
    <row r="330" spans="7:7" x14ac:dyDescent="0.35">
      <c r="G330" s="40">
        <f t="shared" si="5"/>
        <v>46526</v>
      </c>
    </row>
    <row r="331" spans="7:7" x14ac:dyDescent="0.35">
      <c r="G331" s="40">
        <f t="shared" si="5"/>
        <v>46527</v>
      </c>
    </row>
    <row r="332" spans="7:7" x14ac:dyDescent="0.35">
      <c r="G332" s="40">
        <f t="shared" si="5"/>
        <v>46528</v>
      </c>
    </row>
    <row r="333" spans="7:7" x14ac:dyDescent="0.35">
      <c r="G333" s="40">
        <f t="shared" si="5"/>
        <v>46529</v>
      </c>
    </row>
    <row r="334" spans="7:7" x14ac:dyDescent="0.35">
      <c r="G334" s="40">
        <f t="shared" si="5"/>
        <v>46530</v>
      </c>
    </row>
    <row r="335" spans="7:7" x14ac:dyDescent="0.35">
      <c r="G335" s="40">
        <f t="shared" si="5"/>
        <v>46531</v>
      </c>
    </row>
    <row r="336" spans="7:7" x14ac:dyDescent="0.35">
      <c r="G336" s="40">
        <f t="shared" si="5"/>
        <v>46532</v>
      </c>
    </row>
    <row r="337" spans="7:7" x14ac:dyDescent="0.35">
      <c r="G337" s="40">
        <f t="shared" si="5"/>
        <v>46533</v>
      </c>
    </row>
    <row r="338" spans="7:7" x14ac:dyDescent="0.35">
      <c r="G338" s="40">
        <f t="shared" si="5"/>
        <v>46534</v>
      </c>
    </row>
    <row r="339" spans="7:7" x14ac:dyDescent="0.35">
      <c r="G339" s="40">
        <f t="shared" si="5"/>
        <v>46535</v>
      </c>
    </row>
    <row r="340" spans="7:7" x14ac:dyDescent="0.35">
      <c r="G340" s="40">
        <f t="shared" si="5"/>
        <v>46536</v>
      </c>
    </row>
    <row r="341" spans="7:7" x14ac:dyDescent="0.35">
      <c r="G341" s="40">
        <f t="shared" si="5"/>
        <v>46537</v>
      </c>
    </row>
    <row r="342" spans="7:7" x14ac:dyDescent="0.35">
      <c r="G342" s="40">
        <f t="shared" si="5"/>
        <v>46538</v>
      </c>
    </row>
    <row r="343" spans="7:7" x14ac:dyDescent="0.35">
      <c r="G343" s="40">
        <f t="shared" si="5"/>
        <v>46539</v>
      </c>
    </row>
    <row r="344" spans="7:7" x14ac:dyDescent="0.35">
      <c r="G344" s="40">
        <f t="shared" si="5"/>
        <v>46540</v>
      </c>
    </row>
    <row r="345" spans="7:7" x14ac:dyDescent="0.35">
      <c r="G345" s="40">
        <f t="shared" si="5"/>
        <v>46541</v>
      </c>
    </row>
    <row r="346" spans="7:7" x14ac:dyDescent="0.35">
      <c r="G346" s="40">
        <f t="shared" si="5"/>
        <v>46542</v>
      </c>
    </row>
    <row r="347" spans="7:7" x14ac:dyDescent="0.35">
      <c r="G347" s="40">
        <f t="shared" si="5"/>
        <v>46543</v>
      </c>
    </row>
    <row r="348" spans="7:7" x14ac:dyDescent="0.35">
      <c r="G348" s="40">
        <f t="shared" si="5"/>
        <v>46544</v>
      </c>
    </row>
    <row r="349" spans="7:7" x14ac:dyDescent="0.35">
      <c r="G349" s="40">
        <f t="shared" si="5"/>
        <v>46545</v>
      </c>
    </row>
    <row r="350" spans="7:7" x14ac:dyDescent="0.35">
      <c r="G350" s="40">
        <f t="shared" si="5"/>
        <v>46546</v>
      </c>
    </row>
    <row r="351" spans="7:7" x14ac:dyDescent="0.35">
      <c r="G351" s="40">
        <f t="shared" si="5"/>
        <v>46547</v>
      </c>
    </row>
    <row r="352" spans="7:7" x14ac:dyDescent="0.35">
      <c r="G352" s="40">
        <f t="shared" si="5"/>
        <v>46548</v>
      </c>
    </row>
    <row r="353" spans="7:7" x14ac:dyDescent="0.35">
      <c r="G353" s="40">
        <f t="shared" si="5"/>
        <v>46549</v>
      </c>
    </row>
    <row r="354" spans="7:7" x14ac:dyDescent="0.35">
      <c r="G354" s="40">
        <f t="shared" si="5"/>
        <v>46550</v>
      </c>
    </row>
    <row r="355" spans="7:7" x14ac:dyDescent="0.35">
      <c r="G355" s="40">
        <f t="shared" si="5"/>
        <v>46551</v>
      </c>
    </row>
    <row r="356" spans="7:7" x14ac:dyDescent="0.35">
      <c r="G356" s="40">
        <f t="shared" si="5"/>
        <v>46552</v>
      </c>
    </row>
    <row r="357" spans="7:7" x14ac:dyDescent="0.35">
      <c r="G357" s="40">
        <f t="shared" si="5"/>
        <v>46553</v>
      </c>
    </row>
    <row r="358" spans="7:7" x14ac:dyDescent="0.35">
      <c r="G358" s="40">
        <f t="shared" si="5"/>
        <v>46554</v>
      </c>
    </row>
    <row r="359" spans="7:7" x14ac:dyDescent="0.35">
      <c r="G359" s="40">
        <f t="shared" si="5"/>
        <v>46555</v>
      </c>
    </row>
    <row r="360" spans="7:7" x14ac:dyDescent="0.35">
      <c r="G360" s="40">
        <f t="shared" si="5"/>
        <v>46556</v>
      </c>
    </row>
    <row r="361" spans="7:7" x14ac:dyDescent="0.35">
      <c r="G361" s="40">
        <f t="shared" si="5"/>
        <v>46557</v>
      </c>
    </row>
    <row r="362" spans="7:7" x14ac:dyDescent="0.35">
      <c r="G362" s="40">
        <f t="shared" si="5"/>
        <v>46558</v>
      </c>
    </row>
    <row r="363" spans="7:7" x14ac:dyDescent="0.35">
      <c r="G363" s="40">
        <f t="shared" si="5"/>
        <v>46559</v>
      </c>
    </row>
    <row r="364" spans="7:7" x14ac:dyDescent="0.35">
      <c r="G364" s="40">
        <f t="shared" si="5"/>
        <v>46560</v>
      </c>
    </row>
    <row r="365" spans="7:7" x14ac:dyDescent="0.35">
      <c r="G365" s="40">
        <f t="shared" si="5"/>
        <v>46561</v>
      </c>
    </row>
    <row r="366" spans="7:7" x14ac:dyDescent="0.35">
      <c r="G366" s="40">
        <f t="shared" si="5"/>
        <v>46562</v>
      </c>
    </row>
    <row r="367" spans="7:7" x14ac:dyDescent="0.35">
      <c r="G367" s="40">
        <f t="shared" si="5"/>
        <v>46563</v>
      </c>
    </row>
    <row r="368" spans="7:7" x14ac:dyDescent="0.35">
      <c r="G368" s="40">
        <f t="shared" si="5"/>
        <v>46564</v>
      </c>
    </row>
    <row r="369" spans="7:7" x14ac:dyDescent="0.35">
      <c r="G369" s="40">
        <f t="shared" si="5"/>
        <v>46565</v>
      </c>
    </row>
    <row r="370" spans="7:7" x14ac:dyDescent="0.35">
      <c r="G370" s="40">
        <f t="shared" si="5"/>
        <v>46566</v>
      </c>
    </row>
    <row r="371" spans="7:7" x14ac:dyDescent="0.35">
      <c r="G371" s="40">
        <f t="shared" si="5"/>
        <v>46567</v>
      </c>
    </row>
    <row r="372" spans="7:7" x14ac:dyDescent="0.35">
      <c r="G372" s="40">
        <f t="shared" si="5"/>
        <v>46568</v>
      </c>
    </row>
    <row r="373" spans="7:7" x14ac:dyDescent="0.35">
      <c r="G373" s="40">
        <f t="shared" si="5"/>
        <v>46569</v>
      </c>
    </row>
    <row r="374" spans="7:7" x14ac:dyDescent="0.35">
      <c r="G374" s="40">
        <f t="shared" si="5"/>
        <v>46570</v>
      </c>
    </row>
    <row r="375" spans="7:7" x14ac:dyDescent="0.35">
      <c r="G375" s="40">
        <f t="shared" si="5"/>
        <v>46571</v>
      </c>
    </row>
    <row r="376" spans="7:7" x14ac:dyDescent="0.35">
      <c r="G376" s="40">
        <f t="shared" si="5"/>
        <v>46572</v>
      </c>
    </row>
    <row r="377" spans="7:7" x14ac:dyDescent="0.35">
      <c r="G377" s="40">
        <f t="shared" si="5"/>
        <v>46573</v>
      </c>
    </row>
    <row r="378" spans="7:7" x14ac:dyDescent="0.35">
      <c r="G378" s="40">
        <f t="shared" si="5"/>
        <v>46574</v>
      </c>
    </row>
    <row r="379" spans="7:7" x14ac:dyDescent="0.35">
      <c r="G379" s="40">
        <f t="shared" si="5"/>
        <v>46575</v>
      </c>
    </row>
    <row r="380" spans="7:7" x14ac:dyDescent="0.35">
      <c r="G380" s="40">
        <f t="shared" si="5"/>
        <v>46576</v>
      </c>
    </row>
    <row r="381" spans="7:7" x14ac:dyDescent="0.35">
      <c r="G381" s="40">
        <f t="shared" si="5"/>
        <v>46577</v>
      </c>
    </row>
    <row r="382" spans="7:7" x14ac:dyDescent="0.35">
      <c r="G382" s="40">
        <f t="shared" si="5"/>
        <v>46578</v>
      </c>
    </row>
    <row r="383" spans="7:7" x14ac:dyDescent="0.35">
      <c r="G383" s="40">
        <f t="shared" si="5"/>
        <v>46579</v>
      </c>
    </row>
    <row r="384" spans="7:7" x14ac:dyDescent="0.35">
      <c r="G384" s="40">
        <f t="shared" si="5"/>
        <v>46580</v>
      </c>
    </row>
    <row r="385" spans="7:7" x14ac:dyDescent="0.35">
      <c r="G385" s="40">
        <f t="shared" si="5"/>
        <v>46581</v>
      </c>
    </row>
    <row r="386" spans="7:7" x14ac:dyDescent="0.35">
      <c r="G386" s="40">
        <f t="shared" si="5"/>
        <v>46582</v>
      </c>
    </row>
    <row r="387" spans="7:7" x14ac:dyDescent="0.35">
      <c r="G387" s="40">
        <f t="shared" si="5"/>
        <v>46583</v>
      </c>
    </row>
    <row r="388" spans="7:7" x14ac:dyDescent="0.35">
      <c r="G388" s="40">
        <f t="shared" si="5"/>
        <v>46584</v>
      </c>
    </row>
    <row r="389" spans="7:7" x14ac:dyDescent="0.35">
      <c r="G389" s="40">
        <f t="shared" ref="G389:G452" si="6">G388+1</f>
        <v>46585</v>
      </c>
    </row>
    <row r="390" spans="7:7" x14ac:dyDescent="0.35">
      <c r="G390" s="40">
        <f t="shared" si="6"/>
        <v>46586</v>
      </c>
    </row>
    <row r="391" spans="7:7" x14ac:dyDescent="0.35">
      <c r="G391" s="40">
        <f t="shared" si="6"/>
        <v>46587</v>
      </c>
    </row>
    <row r="392" spans="7:7" x14ac:dyDescent="0.35">
      <c r="G392" s="40">
        <f t="shared" si="6"/>
        <v>46588</v>
      </c>
    </row>
    <row r="393" spans="7:7" x14ac:dyDescent="0.35">
      <c r="G393" s="40">
        <f t="shared" si="6"/>
        <v>46589</v>
      </c>
    </row>
    <row r="394" spans="7:7" x14ac:dyDescent="0.35">
      <c r="G394" s="40">
        <f t="shared" si="6"/>
        <v>46590</v>
      </c>
    </row>
    <row r="395" spans="7:7" x14ac:dyDescent="0.35">
      <c r="G395" s="40">
        <f t="shared" si="6"/>
        <v>46591</v>
      </c>
    </row>
    <row r="396" spans="7:7" x14ac:dyDescent="0.35">
      <c r="G396" s="40">
        <f t="shared" si="6"/>
        <v>46592</v>
      </c>
    </row>
    <row r="397" spans="7:7" x14ac:dyDescent="0.35">
      <c r="G397" s="40">
        <f t="shared" si="6"/>
        <v>46593</v>
      </c>
    </row>
    <row r="398" spans="7:7" x14ac:dyDescent="0.35">
      <c r="G398" s="40">
        <f t="shared" si="6"/>
        <v>46594</v>
      </c>
    </row>
    <row r="399" spans="7:7" x14ac:dyDescent="0.35">
      <c r="G399" s="40">
        <f t="shared" si="6"/>
        <v>46595</v>
      </c>
    </row>
    <row r="400" spans="7:7" x14ac:dyDescent="0.35">
      <c r="G400" s="40">
        <f t="shared" si="6"/>
        <v>46596</v>
      </c>
    </row>
    <row r="401" spans="7:7" x14ac:dyDescent="0.35">
      <c r="G401" s="40">
        <f t="shared" si="6"/>
        <v>46597</v>
      </c>
    </row>
    <row r="402" spans="7:7" x14ac:dyDescent="0.35">
      <c r="G402" s="40">
        <f t="shared" si="6"/>
        <v>46598</v>
      </c>
    </row>
    <row r="403" spans="7:7" x14ac:dyDescent="0.35">
      <c r="G403" s="40">
        <f t="shared" si="6"/>
        <v>46599</v>
      </c>
    </row>
    <row r="404" spans="7:7" x14ac:dyDescent="0.35">
      <c r="G404" s="40">
        <f t="shared" si="6"/>
        <v>46600</v>
      </c>
    </row>
    <row r="405" spans="7:7" x14ac:dyDescent="0.35">
      <c r="G405" s="40">
        <f t="shared" si="6"/>
        <v>46601</v>
      </c>
    </row>
    <row r="406" spans="7:7" x14ac:dyDescent="0.35">
      <c r="G406" s="40">
        <f t="shared" si="6"/>
        <v>46602</v>
      </c>
    </row>
    <row r="407" spans="7:7" x14ac:dyDescent="0.35">
      <c r="G407" s="40">
        <f t="shared" si="6"/>
        <v>46603</v>
      </c>
    </row>
    <row r="408" spans="7:7" x14ac:dyDescent="0.35">
      <c r="G408" s="40">
        <f t="shared" si="6"/>
        <v>46604</v>
      </c>
    </row>
    <row r="409" spans="7:7" x14ac:dyDescent="0.35">
      <c r="G409" s="40">
        <f t="shared" si="6"/>
        <v>46605</v>
      </c>
    </row>
    <row r="410" spans="7:7" x14ac:dyDescent="0.35">
      <c r="G410" s="40">
        <f t="shared" si="6"/>
        <v>46606</v>
      </c>
    </row>
    <row r="411" spans="7:7" x14ac:dyDescent="0.35">
      <c r="G411" s="40">
        <f t="shared" si="6"/>
        <v>46607</v>
      </c>
    </row>
    <row r="412" spans="7:7" x14ac:dyDescent="0.35">
      <c r="G412" s="40">
        <f t="shared" si="6"/>
        <v>46608</v>
      </c>
    </row>
    <row r="413" spans="7:7" x14ac:dyDescent="0.35">
      <c r="G413" s="40">
        <f t="shared" si="6"/>
        <v>46609</v>
      </c>
    </row>
    <row r="414" spans="7:7" x14ac:dyDescent="0.35">
      <c r="G414" s="40">
        <f t="shared" si="6"/>
        <v>46610</v>
      </c>
    </row>
    <row r="415" spans="7:7" x14ac:dyDescent="0.35">
      <c r="G415" s="40">
        <f t="shared" si="6"/>
        <v>46611</v>
      </c>
    </row>
    <row r="416" spans="7:7" x14ac:dyDescent="0.35">
      <c r="G416" s="40">
        <f t="shared" si="6"/>
        <v>46612</v>
      </c>
    </row>
    <row r="417" spans="7:7" x14ac:dyDescent="0.35">
      <c r="G417" s="40">
        <f t="shared" si="6"/>
        <v>46613</v>
      </c>
    </row>
    <row r="418" spans="7:7" x14ac:dyDescent="0.35">
      <c r="G418" s="40">
        <f t="shared" si="6"/>
        <v>46614</v>
      </c>
    </row>
    <row r="419" spans="7:7" x14ac:dyDescent="0.35">
      <c r="G419" s="40">
        <f t="shared" si="6"/>
        <v>46615</v>
      </c>
    </row>
    <row r="420" spans="7:7" x14ac:dyDescent="0.35">
      <c r="G420" s="40">
        <f t="shared" si="6"/>
        <v>46616</v>
      </c>
    </row>
    <row r="421" spans="7:7" x14ac:dyDescent="0.35">
      <c r="G421" s="40">
        <f t="shared" si="6"/>
        <v>46617</v>
      </c>
    </row>
    <row r="422" spans="7:7" x14ac:dyDescent="0.35">
      <c r="G422" s="40">
        <f t="shared" si="6"/>
        <v>46618</v>
      </c>
    </row>
    <row r="423" spans="7:7" x14ac:dyDescent="0.35">
      <c r="G423" s="40">
        <f t="shared" si="6"/>
        <v>46619</v>
      </c>
    </row>
    <row r="424" spans="7:7" x14ac:dyDescent="0.35">
      <c r="G424" s="40">
        <f t="shared" si="6"/>
        <v>46620</v>
      </c>
    </row>
    <row r="425" spans="7:7" x14ac:dyDescent="0.35">
      <c r="G425" s="40">
        <f t="shared" si="6"/>
        <v>46621</v>
      </c>
    </row>
    <row r="426" spans="7:7" x14ac:dyDescent="0.35">
      <c r="G426" s="40">
        <f t="shared" si="6"/>
        <v>46622</v>
      </c>
    </row>
    <row r="427" spans="7:7" x14ac:dyDescent="0.35">
      <c r="G427" s="40">
        <f t="shared" si="6"/>
        <v>46623</v>
      </c>
    </row>
    <row r="428" spans="7:7" x14ac:dyDescent="0.35">
      <c r="G428" s="40">
        <f t="shared" si="6"/>
        <v>46624</v>
      </c>
    </row>
    <row r="429" spans="7:7" x14ac:dyDescent="0.35">
      <c r="G429" s="40">
        <f t="shared" si="6"/>
        <v>46625</v>
      </c>
    </row>
    <row r="430" spans="7:7" x14ac:dyDescent="0.35">
      <c r="G430" s="40">
        <f t="shared" si="6"/>
        <v>46626</v>
      </c>
    </row>
    <row r="431" spans="7:7" x14ac:dyDescent="0.35">
      <c r="G431" s="40">
        <f t="shared" si="6"/>
        <v>46627</v>
      </c>
    </row>
    <row r="432" spans="7:7" x14ac:dyDescent="0.35">
      <c r="G432" s="40">
        <f t="shared" si="6"/>
        <v>46628</v>
      </c>
    </row>
    <row r="433" spans="7:7" x14ac:dyDescent="0.35">
      <c r="G433" s="40">
        <f t="shared" si="6"/>
        <v>46629</v>
      </c>
    </row>
    <row r="434" spans="7:7" x14ac:dyDescent="0.35">
      <c r="G434" s="40">
        <f t="shared" si="6"/>
        <v>46630</v>
      </c>
    </row>
    <row r="435" spans="7:7" x14ac:dyDescent="0.35">
      <c r="G435" s="40">
        <f t="shared" si="6"/>
        <v>46631</v>
      </c>
    </row>
    <row r="436" spans="7:7" x14ac:dyDescent="0.35">
      <c r="G436" s="40">
        <f t="shared" si="6"/>
        <v>46632</v>
      </c>
    </row>
    <row r="437" spans="7:7" x14ac:dyDescent="0.35">
      <c r="G437" s="40">
        <f t="shared" si="6"/>
        <v>46633</v>
      </c>
    </row>
    <row r="438" spans="7:7" x14ac:dyDescent="0.35">
      <c r="G438" s="40">
        <f t="shared" si="6"/>
        <v>46634</v>
      </c>
    </row>
    <row r="439" spans="7:7" x14ac:dyDescent="0.35">
      <c r="G439" s="40">
        <f t="shared" si="6"/>
        <v>46635</v>
      </c>
    </row>
    <row r="440" spans="7:7" x14ac:dyDescent="0.35">
      <c r="G440" s="40">
        <f t="shared" si="6"/>
        <v>46636</v>
      </c>
    </row>
    <row r="441" spans="7:7" x14ac:dyDescent="0.35">
      <c r="G441" s="40">
        <f t="shared" si="6"/>
        <v>46637</v>
      </c>
    </row>
    <row r="442" spans="7:7" x14ac:dyDescent="0.35">
      <c r="G442" s="40">
        <f t="shared" si="6"/>
        <v>46638</v>
      </c>
    </row>
    <row r="443" spans="7:7" x14ac:dyDescent="0.35">
      <c r="G443" s="40">
        <f t="shared" si="6"/>
        <v>46639</v>
      </c>
    </row>
    <row r="444" spans="7:7" x14ac:dyDescent="0.35">
      <c r="G444" s="40">
        <f t="shared" si="6"/>
        <v>46640</v>
      </c>
    </row>
    <row r="445" spans="7:7" x14ac:dyDescent="0.35">
      <c r="G445" s="40">
        <f t="shared" si="6"/>
        <v>46641</v>
      </c>
    </row>
    <row r="446" spans="7:7" x14ac:dyDescent="0.35">
      <c r="G446" s="40">
        <f t="shared" si="6"/>
        <v>46642</v>
      </c>
    </row>
    <row r="447" spans="7:7" x14ac:dyDescent="0.35">
      <c r="G447" s="40">
        <f t="shared" si="6"/>
        <v>46643</v>
      </c>
    </row>
    <row r="448" spans="7:7" x14ac:dyDescent="0.35">
      <c r="G448" s="40">
        <f t="shared" si="6"/>
        <v>46644</v>
      </c>
    </row>
    <row r="449" spans="7:7" x14ac:dyDescent="0.35">
      <c r="G449" s="40">
        <f t="shared" si="6"/>
        <v>46645</v>
      </c>
    </row>
    <row r="450" spans="7:7" x14ac:dyDescent="0.35">
      <c r="G450" s="40">
        <f t="shared" si="6"/>
        <v>46646</v>
      </c>
    </row>
    <row r="451" spans="7:7" x14ac:dyDescent="0.35">
      <c r="G451" s="40">
        <f t="shared" si="6"/>
        <v>46647</v>
      </c>
    </row>
    <row r="452" spans="7:7" x14ac:dyDescent="0.35">
      <c r="G452" s="40">
        <f t="shared" si="6"/>
        <v>46648</v>
      </c>
    </row>
    <row r="453" spans="7:7" x14ac:dyDescent="0.35">
      <c r="G453" s="40">
        <f t="shared" ref="G453:G516" si="7">G452+1</f>
        <v>46649</v>
      </c>
    </row>
    <row r="454" spans="7:7" x14ac:dyDescent="0.35">
      <c r="G454" s="40">
        <f t="shared" si="7"/>
        <v>46650</v>
      </c>
    </row>
    <row r="455" spans="7:7" x14ac:dyDescent="0.35">
      <c r="G455" s="40">
        <f t="shared" si="7"/>
        <v>46651</v>
      </c>
    </row>
    <row r="456" spans="7:7" x14ac:dyDescent="0.35">
      <c r="G456" s="40">
        <f t="shared" si="7"/>
        <v>46652</v>
      </c>
    </row>
    <row r="457" spans="7:7" x14ac:dyDescent="0.35">
      <c r="G457" s="40">
        <f t="shared" si="7"/>
        <v>46653</v>
      </c>
    </row>
    <row r="458" spans="7:7" x14ac:dyDescent="0.35">
      <c r="G458" s="40">
        <f t="shared" si="7"/>
        <v>46654</v>
      </c>
    </row>
    <row r="459" spans="7:7" x14ac:dyDescent="0.35">
      <c r="G459" s="40">
        <f t="shared" si="7"/>
        <v>46655</v>
      </c>
    </row>
    <row r="460" spans="7:7" x14ac:dyDescent="0.35">
      <c r="G460" s="40">
        <f t="shared" si="7"/>
        <v>46656</v>
      </c>
    </row>
    <row r="461" spans="7:7" x14ac:dyDescent="0.35">
      <c r="G461" s="40">
        <f t="shared" si="7"/>
        <v>46657</v>
      </c>
    </row>
    <row r="462" spans="7:7" x14ac:dyDescent="0.35">
      <c r="G462" s="40">
        <f t="shared" si="7"/>
        <v>46658</v>
      </c>
    </row>
    <row r="463" spans="7:7" x14ac:dyDescent="0.35">
      <c r="G463" s="40">
        <f t="shared" si="7"/>
        <v>46659</v>
      </c>
    </row>
    <row r="464" spans="7:7" x14ac:dyDescent="0.35">
      <c r="G464" s="40">
        <f t="shared" si="7"/>
        <v>46660</v>
      </c>
    </row>
    <row r="465" spans="7:7" x14ac:dyDescent="0.35">
      <c r="G465" s="40">
        <f t="shared" si="7"/>
        <v>46661</v>
      </c>
    </row>
    <row r="466" spans="7:7" x14ac:dyDescent="0.35">
      <c r="G466" s="40">
        <f t="shared" si="7"/>
        <v>46662</v>
      </c>
    </row>
    <row r="467" spans="7:7" x14ac:dyDescent="0.35">
      <c r="G467" s="40">
        <f t="shared" si="7"/>
        <v>46663</v>
      </c>
    </row>
    <row r="468" spans="7:7" x14ac:dyDescent="0.35">
      <c r="G468" s="40">
        <f t="shared" si="7"/>
        <v>46664</v>
      </c>
    </row>
    <row r="469" spans="7:7" x14ac:dyDescent="0.35">
      <c r="G469" s="40">
        <f t="shared" si="7"/>
        <v>46665</v>
      </c>
    </row>
    <row r="470" spans="7:7" x14ac:dyDescent="0.35">
      <c r="G470" s="40">
        <f t="shared" si="7"/>
        <v>46666</v>
      </c>
    </row>
    <row r="471" spans="7:7" x14ac:dyDescent="0.35">
      <c r="G471" s="40">
        <f t="shared" si="7"/>
        <v>46667</v>
      </c>
    </row>
    <row r="472" spans="7:7" x14ac:dyDescent="0.35">
      <c r="G472" s="40">
        <f t="shared" si="7"/>
        <v>46668</v>
      </c>
    </row>
    <row r="473" spans="7:7" x14ac:dyDescent="0.35">
      <c r="G473" s="40">
        <f t="shared" si="7"/>
        <v>46669</v>
      </c>
    </row>
    <row r="474" spans="7:7" x14ac:dyDescent="0.35">
      <c r="G474" s="40">
        <f t="shared" si="7"/>
        <v>46670</v>
      </c>
    </row>
    <row r="475" spans="7:7" x14ac:dyDescent="0.35">
      <c r="G475" s="40">
        <f t="shared" si="7"/>
        <v>46671</v>
      </c>
    </row>
    <row r="476" spans="7:7" x14ac:dyDescent="0.35">
      <c r="G476" s="40">
        <f t="shared" si="7"/>
        <v>46672</v>
      </c>
    </row>
    <row r="477" spans="7:7" x14ac:dyDescent="0.35">
      <c r="G477" s="40">
        <f t="shared" si="7"/>
        <v>46673</v>
      </c>
    </row>
    <row r="478" spans="7:7" x14ac:dyDescent="0.35">
      <c r="G478" s="40">
        <f t="shared" si="7"/>
        <v>46674</v>
      </c>
    </row>
    <row r="479" spans="7:7" x14ac:dyDescent="0.35">
      <c r="G479" s="40">
        <f t="shared" si="7"/>
        <v>46675</v>
      </c>
    </row>
    <row r="480" spans="7:7" x14ac:dyDescent="0.35">
      <c r="G480" s="40">
        <f t="shared" si="7"/>
        <v>46676</v>
      </c>
    </row>
    <row r="481" spans="7:7" x14ac:dyDescent="0.35">
      <c r="G481" s="40">
        <f t="shared" si="7"/>
        <v>46677</v>
      </c>
    </row>
    <row r="482" spans="7:7" x14ac:dyDescent="0.35">
      <c r="G482" s="40">
        <f t="shared" si="7"/>
        <v>46678</v>
      </c>
    </row>
    <row r="483" spans="7:7" x14ac:dyDescent="0.35">
      <c r="G483" s="40">
        <f t="shared" si="7"/>
        <v>46679</v>
      </c>
    </row>
    <row r="484" spans="7:7" x14ac:dyDescent="0.35">
      <c r="G484" s="40">
        <f t="shared" si="7"/>
        <v>46680</v>
      </c>
    </row>
    <row r="485" spans="7:7" x14ac:dyDescent="0.35">
      <c r="G485" s="40">
        <f t="shared" si="7"/>
        <v>46681</v>
      </c>
    </row>
    <row r="486" spans="7:7" x14ac:dyDescent="0.35">
      <c r="G486" s="40">
        <f t="shared" si="7"/>
        <v>46682</v>
      </c>
    </row>
    <row r="487" spans="7:7" x14ac:dyDescent="0.35">
      <c r="G487" s="40">
        <f t="shared" si="7"/>
        <v>46683</v>
      </c>
    </row>
    <row r="488" spans="7:7" x14ac:dyDescent="0.35">
      <c r="G488" s="40">
        <f t="shared" si="7"/>
        <v>46684</v>
      </c>
    </row>
    <row r="489" spans="7:7" x14ac:dyDescent="0.35">
      <c r="G489" s="40">
        <f t="shared" si="7"/>
        <v>46685</v>
      </c>
    </row>
    <row r="490" spans="7:7" x14ac:dyDescent="0.35">
      <c r="G490" s="40">
        <f t="shared" si="7"/>
        <v>46686</v>
      </c>
    </row>
    <row r="491" spans="7:7" x14ac:dyDescent="0.35">
      <c r="G491" s="40">
        <f t="shared" si="7"/>
        <v>46687</v>
      </c>
    </row>
    <row r="492" spans="7:7" x14ac:dyDescent="0.35">
      <c r="G492" s="40">
        <f t="shared" si="7"/>
        <v>46688</v>
      </c>
    </row>
    <row r="493" spans="7:7" x14ac:dyDescent="0.35">
      <c r="G493" s="40">
        <f t="shared" si="7"/>
        <v>46689</v>
      </c>
    </row>
    <row r="494" spans="7:7" x14ac:dyDescent="0.35">
      <c r="G494" s="40">
        <f t="shared" si="7"/>
        <v>46690</v>
      </c>
    </row>
    <row r="495" spans="7:7" x14ac:dyDescent="0.35">
      <c r="G495" s="40">
        <f t="shared" si="7"/>
        <v>46691</v>
      </c>
    </row>
    <row r="496" spans="7:7" x14ac:dyDescent="0.35">
      <c r="G496" s="40">
        <f t="shared" si="7"/>
        <v>46692</v>
      </c>
    </row>
    <row r="497" spans="7:7" x14ac:dyDescent="0.35">
      <c r="G497" s="40">
        <f t="shared" si="7"/>
        <v>46693</v>
      </c>
    </row>
    <row r="498" spans="7:7" x14ac:dyDescent="0.35">
      <c r="G498" s="40">
        <f t="shared" si="7"/>
        <v>46694</v>
      </c>
    </row>
    <row r="499" spans="7:7" x14ac:dyDescent="0.35">
      <c r="G499" s="40">
        <f t="shared" si="7"/>
        <v>46695</v>
      </c>
    </row>
    <row r="500" spans="7:7" x14ac:dyDescent="0.35">
      <c r="G500" s="40">
        <f t="shared" si="7"/>
        <v>46696</v>
      </c>
    </row>
    <row r="501" spans="7:7" x14ac:dyDescent="0.35">
      <c r="G501" s="40">
        <f t="shared" si="7"/>
        <v>46697</v>
      </c>
    </row>
    <row r="502" spans="7:7" x14ac:dyDescent="0.35">
      <c r="G502" s="40">
        <f t="shared" si="7"/>
        <v>46698</v>
      </c>
    </row>
    <row r="503" spans="7:7" x14ac:dyDescent="0.35">
      <c r="G503" s="40">
        <f t="shared" si="7"/>
        <v>46699</v>
      </c>
    </row>
    <row r="504" spans="7:7" x14ac:dyDescent="0.35">
      <c r="G504" s="40">
        <f t="shared" si="7"/>
        <v>46700</v>
      </c>
    </row>
    <row r="505" spans="7:7" x14ac:dyDescent="0.35">
      <c r="G505" s="40">
        <f t="shared" si="7"/>
        <v>46701</v>
      </c>
    </row>
    <row r="506" spans="7:7" x14ac:dyDescent="0.35">
      <c r="G506" s="40">
        <f t="shared" si="7"/>
        <v>46702</v>
      </c>
    </row>
    <row r="507" spans="7:7" x14ac:dyDescent="0.35">
      <c r="G507" s="40">
        <f t="shared" si="7"/>
        <v>46703</v>
      </c>
    </row>
    <row r="508" spans="7:7" x14ac:dyDescent="0.35">
      <c r="G508" s="40">
        <f t="shared" si="7"/>
        <v>46704</v>
      </c>
    </row>
    <row r="509" spans="7:7" x14ac:dyDescent="0.35">
      <c r="G509" s="40">
        <f t="shared" si="7"/>
        <v>46705</v>
      </c>
    </row>
    <row r="510" spans="7:7" x14ac:dyDescent="0.35">
      <c r="G510" s="40">
        <f t="shared" si="7"/>
        <v>46706</v>
      </c>
    </row>
    <row r="511" spans="7:7" x14ac:dyDescent="0.35">
      <c r="G511" s="40">
        <f t="shared" si="7"/>
        <v>46707</v>
      </c>
    </row>
    <row r="512" spans="7:7" x14ac:dyDescent="0.35">
      <c r="G512" s="40">
        <f t="shared" si="7"/>
        <v>46708</v>
      </c>
    </row>
    <row r="513" spans="7:7" x14ac:dyDescent="0.35">
      <c r="G513" s="40">
        <f t="shared" si="7"/>
        <v>46709</v>
      </c>
    </row>
    <row r="514" spans="7:7" x14ac:dyDescent="0.35">
      <c r="G514" s="40">
        <f t="shared" si="7"/>
        <v>46710</v>
      </c>
    </row>
    <row r="515" spans="7:7" x14ac:dyDescent="0.35">
      <c r="G515" s="40">
        <f t="shared" si="7"/>
        <v>46711</v>
      </c>
    </row>
    <row r="516" spans="7:7" x14ac:dyDescent="0.35">
      <c r="G516" s="40">
        <f t="shared" si="7"/>
        <v>46712</v>
      </c>
    </row>
    <row r="517" spans="7:7" x14ac:dyDescent="0.35">
      <c r="G517" s="40">
        <f t="shared" ref="G517:G546" si="8">G516+1</f>
        <v>46713</v>
      </c>
    </row>
    <row r="518" spans="7:7" x14ac:dyDescent="0.35">
      <c r="G518" s="40">
        <f t="shared" si="8"/>
        <v>46714</v>
      </c>
    </row>
    <row r="519" spans="7:7" x14ac:dyDescent="0.35">
      <c r="G519" s="40">
        <f t="shared" si="8"/>
        <v>46715</v>
      </c>
    </row>
    <row r="520" spans="7:7" x14ac:dyDescent="0.35">
      <c r="G520" s="40">
        <f t="shared" si="8"/>
        <v>46716</v>
      </c>
    </row>
    <row r="521" spans="7:7" x14ac:dyDescent="0.35">
      <c r="G521" s="40">
        <f t="shared" si="8"/>
        <v>46717</v>
      </c>
    </row>
    <row r="522" spans="7:7" x14ac:dyDescent="0.35">
      <c r="G522" s="40">
        <f t="shared" si="8"/>
        <v>46718</v>
      </c>
    </row>
    <row r="523" spans="7:7" x14ac:dyDescent="0.35">
      <c r="G523" s="40">
        <f t="shared" si="8"/>
        <v>46719</v>
      </c>
    </row>
    <row r="524" spans="7:7" x14ac:dyDescent="0.35">
      <c r="G524" s="40">
        <f t="shared" si="8"/>
        <v>46720</v>
      </c>
    </row>
    <row r="525" spans="7:7" x14ac:dyDescent="0.35">
      <c r="G525" s="40">
        <f t="shared" si="8"/>
        <v>46721</v>
      </c>
    </row>
    <row r="526" spans="7:7" x14ac:dyDescent="0.35">
      <c r="G526" s="40">
        <f t="shared" si="8"/>
        <v>46722</v>
      </c>
    </row>
    <row r="527" spans="7:7" x14ac:dyDescent="0.35">
      <c r="G527" s="40">
        <f t="shared" si="8"/>
        <v>46723</v>
      </c>
    </row>
    <row r="528" spans="7:7" x14ac:dyDescent="0.35">
      <c r="G528" s="40">
        <f t="shared" si="8"/>
        <v>46724</v>
      </c>
    </row>
    <row r="529" spans="7:7" x14ac:dyDescent="0.35">
      <c r="G529" s="40">
        <f t="shared" si="8"/>
        <v>46725</v>
      </c>
    </row>
    <row r="530" spans="7:7" x14ac:dyDescent="0.35">
      <c r="G530" s="40">
        <f t="shared" si="8"/>
        <v>46726</v>
      </c>
    </row>
    <row r="531" spans="7:7" x14ac:dyDescent="0.35">
      <c r="G531" s="40">
        <f t="shared" si="8"/>
        <v>46727</v>
      </c>
    </row>
    <row r="532" spans="7:7" x14ac:dyDescent="0.35">
      <c r="G532" s="40">
        <f t="shared" si="8"/>
        <v>46728</v>
      </c>
    </row>
    <row r="533" spans="7:7" x14ac:dyDescent="0.35">
      <c r="G533" s="40">
        <f t="shared" si="8"/>
        <v>46729</v>
      </c>
    </row>
    <row r="534" spans="7:7" x14ac:dyDescent="0.35">
      <c r="G534" s="40">
        <f t="shared" si="8"/>
        <v>46730</v>
      </c>
    </row>
    <row r="535" spans="7:7" x14ac:dyDescent="0.35">
      <c r="G535" s="40">
        <f t="shared" si="8"/>
        <v>46731</v>
      </c>
    </row>
    <row r="536" spans="7:7" x14ac:dyDescent="0.35">
      <c r="G536" s="40">
        <f t="shared" si="8"/>
        <v>46732</v>
      </c>
    </row>
    <row r="537" spans="7:7" x14ac:dyDescent="0.35">
      <c r="G537" s="40">
        <f t="shared" si="8"/>
        <v>46733</v>
      </c>
    </row>
    <row r="538" spans="7:7" x14ac:dyDescent="0.35">
      <c r="G538" s="40">
        <f t="shared" si="8"/>
        <v>46734</v>
      </c>
    </row>
    <row r="539" spans="7:7" x14ac:dyDescent="0.35">
      <c r="G539" s="40">
        <f t="shared" si="8"/>
        <v>46735</v>
      </c>
    </row>
    <row r="540" spans="7:7" x14ac:dyDescent="0.35">
      <c r="G540" s="40">
        <f t="shared" si="8"/>
        <v>46736</v>
      </c>
    </row>
    <row r="541" spans="7:7" x14ac:dyDescent="0.35">
      <c r="G541" s="40">
        <f t="shared" si="8"/>
        <v>46737</v>
      </c>
    </row>
    <row r="542" spans="7:7" x14ac:dyDescent="0.35">
      <c r="G542" s="40">
        <f t="shared" si="8"/>
        <v>46738</v>
      </c>
    </row>
    <row r="543" spans="7:7" x14ac:dyDescent="0.35">
      <c r="G543" s="40">
        <f t="shared" si="8"/>
        <v>46739</v>
      </c>
    </row>
    <row r="544" spans="7:7" x14ac:dyDescent="0.35">
      <c r="G544" s="40">
        <f t="shared" si="8"/>
        <v>46740</v>
      </c>
    </row>
    <row r="545" spans="7:7" x14ac:dyDescent="0.35">
      <c r="G545" s="40">
        <f t="shared" si="8"/>
        <v>46741</v>
      </c>
    </row>
    <row r="546" spans="7:7" x14ac:dyDescent="0.35">
      <c r="G546" s="40">
        <f t="shared" si="8"/>
        <v>46742</v>
      </c>
    </row>
    <row r="547" spans="7:7" x14ac:dyDescent="0.35">
      <c r="G547" s="40">
        <f t="shared" ref="G547:G580" si="9">G546+1</f>
        <v>46743</v>
      </c>
    </row>
    <row r="548" spans="7:7" x14ac:dyDescent="0.35">
      <c r="G548" s="40">
        <f t="shared" si="9"/>
        <v>46744</v>
      </c>
    </row>
    <row r="549" spans="7:7" x14ac:dyDescent="0.35">
      <c r="G549" s="40">
        <f t="shared" si="9"/>
        <v>46745</v>
      </c>
    </row>
    <row r="550" spans="7:7" x14ac:dyDescent="0.35">
      <c r="G550" s="40">
        <f t="shared" si="9"/>
        <v>46746</v>
      </c>
    </row>
    <row r="551" spans="7:7" x14ac:dyDescent="0.35">
      <c r="G551" s="40">
        <f t="shared" si="9"/>
        <v>46747</v>
      </c>
    </row>
    <row r="552" spans="7:7" x14ac:dyDescent="0.35">
      <c r="G552" s="40">
        <f t="shared" si="9"/>
        <v>46748</v>
      </c>
    </row>
    <row r="553" spans="7:7" x14ac:dyDescent="0.35">
      <c r="G553" s="40">
        <f t="shared" si="9"/>
        <v>46749</v>
      </c>
    </row>
    <row r="554" spans="7:7" x14ac:dyDescent="0.35">
      <c r="G554" s="40">
        <f t="shared" si="9"/>
        <v>46750</v>
      </c>
    </row>
    <row r="555" spans="7:7" x14ac:dyDescent="0.35">
      <c r="G555" s="40">
        <f t="shared" si="9"/>
        <v>46751</v>
      </c>
    </row>
    <row r="556" spans="7:7" x14ac:dyDescent="0.35">
      <c r="G556" s="40">
        <f t="shared" si="9"/>
        <v>46752</v>
      </c>
    </row>
    <row r="557" spans="7:7" x14ac:dyDescent="0.35">
      <c r="G557" s="40">
        <f t="shared" si="9"/>
        <v>46753</v>
      </c>
    </row>
    <row r="558" spans="7:7" x14ac:dyDescent="0.35">
      <c r="G558" s="40">
        <f t="shared" si="9"/>
        <v>46754</v>
      </c>
    </row>
    <row r="559" spans="7:7" x14ac:dyDescent="0.35">
      <c r="G559" s="40">
        <f t="shared" si="9"/>
        <v>46755</v>
      </c>
    </row>
    <row r="560" spans="7:7" x14ac:dyDescent="0.35">
      <c r="G560" s="40">
        <f t="shared" si="9"/>
        <v>46756</v>
      </c>
    </row>
    <row r="561" spans="7:7" x14ac:dyDescent="0.35">
      <c r="G561" s="40">
        <f t="shared" si="9"/>
        <v>46757</v>
      </c>
    </row>
    <row r="562" spans="7:7" x14ac:dyDescent="0.35">
      <c r="G562" s="40">
        <f t="shared" si="9"/>
        <v>46758</v>
      </c>
    </row>
    <row r="563" spans="7:7" x14ac:dyDescent="0.35">
      <c r="G563" s="40">
        <f t="shared" si="9"/>
        <v>46759</v>
      </c>
    </row>
    <row r="564" spans="7:7" x14ac:dyDescent="0.35">
      <c r="G564" s="40">
        <f t="shared" si="9"/>
        <v>46760</v>
      </c>
    </row>
    <row r="565" spans="7:7" x14ac:dyDescent="0.35">
      <c r="G565" s="40">
        <f t="shared" si="9"/>
        <v>46761</v>
      </c>
    </row>
    <row r="566" spans="7:7" x14ac:dyDescent="0.35">
      <c r="G566" s="40">
        <f t="shared" si="9"/>
        <v>46762</v>
      </c>
    </row>
    <row r="567" spans="7:7" x14ac:dyDescent="0.35">
      <c r="G567" s="40">
        <f t="shared" si="9"/>
        <v>46763</v>
      </c>
    </row>
    <row r="568" spans="7:7" x14ac:dyDescent="0.35">
      <c r="G568" s="40">
        <f t="shared" si="9"/>
        <v>46764</v>
      </c>
    </row>
    <row r="569" spans="7:7" x14ac:dyDescent="0.35">
      <c r="G569" s="40">
        <f t="shared" si="9"/>
        <v>46765</v>
      </c>
    </row>
    <row r="570" spans="7:7" x14ac:dyDescent="0.35">
      <c r="G570" s="40">
        <f t="shared" si="9"/>
        <v>46766</v>
      </c>
    </row>
    <row r="571" spans="7:7" x14ac:dyDescent="0.35">
      <c r="G571" s="40">
        <f t="shared" si="9"/>
        <v>46767</v>
      </c>
    </row>
    <row r="572" spans="7:7" x14ac:dyDescent="0.35">
      <c r="G572" s="40">
        <f t="shared" si="9"/>
        <v>46768</v>
      </c>
    </row>
    <row r="573" spans="7:7" x14ac:dyDescent="0.35">
      <c r="G573" s="40">
        <f t="shared" si="9"/>
        <v>46769</v>
      </c>
    </row>
    <row r="574" spans="7:7" x14ac:dyDescent="0.35">
      <c r="G574" s="40">
        <f t="shared" si="9"/>
        <v>46770</v>
      </c>
    </row>
    <row r="575" spans="7:7" x14ac:dyDescent="0.35">
      <c r="G575" s="40">
        <f t="shared" si="9"/>
        <v>46771</v>
      </c>
    </row>
    <row r="576" spans="7:7" x14ac:dyDescent="0.35">
      <c r="G576" s="40">
        <f t="shared" si="9"/>
        <v>46772</v>
      </c>
    </row>
    <row r="577" spans="7:7" x14ac:dyDescent="0.35">
      <c r="G577" s="40">
        <f t="shared" si="9"/>
        <v>46773</v>
      </c>
    </row>
    <row r="578" spans="7:7" x14ac:dyDescent="0.35">
      <c r="G578" s="40">
        <f t="shared" si="9"/>
        <v>46774</v>
      </c>
    </row>
    <row r="579" spans="7:7" x14ac:dyDescent="0.35">
      <c r="G579" s="40">
        <f t="shared" si="9"/>
        <v>46775</v>
      </c>
    </row>
    <row r="580" spans="7:7" x14ac:dyDescent="0.35">
      <c r="G580" s="40">
        <f t="shared" si="9"/>
        <v>46776</v>
      </c>
    </row>
    <row r="581" spans="7:7" x14ac:dyDescent="0.35">
      <c r="G581" s="40">
        <f t="shared" ref="G581:G644" si="10">G580+1</f>
        <v>46777</v>
      </c>
    </row>
    <row r="582" spans="7:7" x14ac:dyDescent="0.35">
      <c r="G582" s="40">
        <f t="shared" si="10"/>
        <v>46778</v>
      </c>
    </row>
    <row r="583" spans="7:7" x14ac:dyDescent="0.35">
      <c r="G583" s="40">
        <f t="shared" si="10"/>
        <v>46779</v>
      </c>
    </row>
    <row r="584" spans="7:7" x14ac:dyDescent="0.35">
      <c r="G584" s="40">
        <f t="shared" si="10"/>
        <v>46780</v>
      </c>
    </row>
    <row r="585" spans="7:7" x14ac:dyDescent="0.35">
      <c r="G585" s="40">
        <f t="shared" si="10"/>
        <v>46781</v>
      </c>
    </row>
    <row r="586" spans="7:7" x14ac:dyDescent="0.35">
      <c r="G586" s="40">
        <f t="shared" si="10"/>
        <v>46782</v>
      </c>
    </row>
    <row r="587" spans="7:7" x14ac:dyDescent="0.35">
      <c r="G587" s="40">
        <f t="shared" si="10"/>
        <v>46783</v>
      </c>
    </row>
    <row r="588" spans="7:7" x14ac:dyDescent="0.35">
      <c r="G588" s="40">
        <f t="shared" si="10"/>
        <v>46784</v>
      </c>
    </row>
    <row r="589" spans="7:7" x14ac:dyDescent="0.35">
      <c r="G589" s="40">
        <f t="shared" si="10"/>
        <v>46785</v>
      </c>
    </row>
    <row r="590" spans="7:7" x14ac:dyDescent="0.35">
      <c r="G590" s="40">
        <f t="shared" si="10"/>
        <v>46786</v>
      </c>
    </row>
    <row r="591" spans="7:7" x14ac:dyDescent="0.35">
      <c r="G591" s="40">
        <f t="shared" si="10"/>
        <v>46787</v>
      </c>
    </row>
    <row r="592" spans="7:7" x14ac:dyDescent="0.35">
      <c r="G592" s="40">
        <f t="shared" si="10"/>
        <v>46788</v>
      </c>
    </row>
    <row r="593" spans="7:7" x14ac:dyDescent="0.35">
      <c r="G593" s="40">
        <f t="shared" si="10"/>
        <v>46789</v>
      </c>
    </row>
    <row r="594" spans="7:7" x14ac:dyDescent="0.35">
      <c r="G594" s="40">
        <f t="shared" si="10"/>
        <v>46790</v>
      </c>
    </row>
    <row r="595" spans="7:7" x14ac:dyDescent="0.35">
      <c r="G595" s="40">
        <f t="shared" si="10"/>
        <v>46791</v>
      </c>
    </row>
    <row r="596" spans="7:7" x14ac:dyDescent="0.35">
      <c r="G596" s="40">
        <f t="shared" si="10"/>
        <v>46792</v>
      </c>
    </row>
    <row r="597" spans="7:7" x14ac:dyDescent="0.35">
      <c r="G597" s="40">
        <f t="shared" si="10"/>
        <v>46793</v>
      </c>
    </row>
    <row r="598" spans="7:7" x14ac:dyDescent="0.35">
      <c r="G598" s="40">
        <f t="shared" si="10"/>
        <v>46794</v>
      </c>
    </row>
    <row r="599" spans="7:7" x14ac:dyDescent="0.35">
      <c r="G599" s="40">
        <f t="shared" si="10"/>
        <v>46795</v>
      </c>
    </row>
    <row r="600" spans="7:7" x14ac:dyDescent="0.35">
      <c r="G600" s="40">
        <f t="shared" si="10"/>
        <v>46796</v>
      </c>
    </row>
    <row r="601" spans="7:7" x14ac:dyDescent="0.35">
      <c r="G601" s="40">
        <f t="shared" si="10"/>
        <v>46797</v>
      </c>
    </row>
    <row r="602" spans="7:7" x14ac:dyDescent="0.35">
      <c r="G602" s="40">
        <f t="shared" si="10"/>
        <v>46798</v>
      </c>
    </row>
    <row r="603" spans="7:7" x14ac:dyDescent="0.35">
      <c r="G603" s="40">
        <f t="shared" si="10"/>
        <v>46799</v>
      </c>
    </row>
    <row r="604" spans="7:7" x14ac:dyDescent="0.35">
      <c r="G604" s="40">
        <f t="shared" si="10"/>
        <v>46800</v>
      </c>
    </row>
    <row r="605" spans="7:7" x14ac:dyDescent="0.35">
      <c r="G605" s="40">
        <f t="shared" si="10"/>
        <v>46801</v>
      </c>
    </row>
    <row r="606" spans="7:7" x14ac:dyDescent="0.35">
      <c r="G606" s="40">
        <f t="shared" si="10"/>
        <v>46802</v>
      </c>
    </row>
    <row r="607" spans="7:7" x14ac:dyDescent="0.35">
      <c r="G607" s="40">
        <f t="shared" si="10"/>
        <v>46803</v>
      </c>
    </row>
    <row r="608" spans="7:7" x14ac:dyDescent="0.35">
      <c r="G608" s="40">
        <f t="shared" si="10"/>
        <v>46804</v>
      </c>
    </row>
    <row r="609" spans="7:7" x14ac:dyDescent="0.35">
      <c r="G609" s="40">
        <f t="shared" si="10"/>
        <v>46805</v>
      </c>
    </row>
    <row r="610" spans="7:7" x14ac:dyDescent="0.35">
      <c r="G610" s="40">
        <f t="shared" si="10"/>
        <v>46806</v>
      </c>
    </row>
    <row r="611" spans="7:7" x14ac:dyDescent="0.35">
      <c r="G611" s="40">
        <f t="shared" si="10"/>
        <v>46807</v>
      </c>
    </row>
    <row r="612" spans="7:7" x14ac:dyDescent="0.35">
      <c r="G612" s="40">
        <f t="shared" si="10"/>
        <v>46808</v>
      </c>
    </row>
    <row r="613" spans="7:7" x14ac:dyDescent="0.35">
      <c r="G613" s="40">
        <f t="shared" si="10"/>
        <v>46809</v>
      </c>
    </row>
    <row r="614" spans="7:7" x14ac:dyDescent="0.35">
      <c r="G614" s="40">
        <f t="shared" si="10"/>
        <v>46810</v>
      </c>
    </row>
    <row r="615" spans="7:7" x14ac:dyDescent="0.35">
      <c r="G615" s="40">
        <f t="shared" si="10"/>
        <v>46811</v>
      </c>
    </row>
    <row r="616" spans="7:7" x14ac:dyDescent="0.35">
      <c r="G616" s="40">
        <f t="shared" si="10"/>
        <v>46812</v>
      </c>
    </row>
    <row r="617" spans="7:7" x14ac:dyDescent="0.35">
      <c r="G617" s="40">
        <f t="shared" si="10"/>
        <v>46813</v>
      </c>
    </row>
    <row r="618" spans="7:7" x14ac:dyDescent="0.35">
      <c r="G618" s="40">
        <f t="shared" si="10"/>
        <v>46814</v>
      </c>
    </row>
    <row r="619" spans="7:7" x14ac:dyDescent="0.35">
      <c r="G619" s="40">
        <f t="shared" si="10"/>
        <v>46815</v>
      </c>
    </row>
    <row r="620" spans="7:7" x14ac:dyDescent="0.35">
      <c r="G620" s="40">
        <f t="shared" si="10"/>
        <v>46816</v>
      </c>
    </row>
    <row r="621" spans="7:7" x14ac:dyDescent="0.35">
      <c r="G621" s="40">
        <f t="shared" si="10"/>
        <v>46817</v>
      </c>
    </row>
    <row r="622" spans="7:7" x14ac:dyDescent="0.35">
      <c r="G622" s="40">
        <f t="shared" si="10"/>
        <v>46818</v>
      </c>
    </row>
    <row r="623" spans="7:7" x14ac:dyDescent="0.35">
      <c r="G623" s="40">
        <f t="shared" si="10"/>
        <v>46819</v>
      </c>
    </row>
    <row r="624" spans="7:7" x14ac:dyDescent="0.35">
      <c r="G624" s="40">
        <f t="shared" si="10"/>
        <v>46820</v>
      </c>
    </row>
    <row r="625" spans="7:7" x14ac:dyDescent="0.35">
      <c r="G625" s="40">
        <f t="shared" si="10"/>
        <v>46821</v>
      </c>
    </row>
    <row r="626" spans="7:7" x14ac:dyDescent="0.35">
      <c r="G626" s="40">
        <f t="shared" si="10"/>
        <v>46822</v>
      </c>
    </row>
    <row r="627" spans="7:7" x14ac:dyDescent="0.35">
      <c r="G627" s="40">
        <f t="shared" si="10"/>
        <v>46823</v>
      </c>
    </row>
    <row r="628" spans="7:7" x14ac:dyDescent="0.35">
      <c r="G628" s="40">
        <f t="shared" si="10"/>
        <v>46824</v>
      </c>
    </row>
    <row r="629" spans="7:7" x14ac:dyDescent="0.35">
      <c r="G629" s="40">
        <f t="shared" si="10"/>
        <v>46825</v>
      </c>
    </row>
    <row r="630" spans="7:7" x14ac:dyDescent="0.35">
      <c r="G630" s="40">
        <f t="shared" si="10"/>
        <v>46826</v>
      </c>
    </row>
    <row r="631" spans="7:7" x14ac:dyDescent="0.35">
      <c r="G631" s="40">
        <f t="shared" si="10"/>
        <v>46827</v>
      </c>
    </row>
    <row r="632" spans="7:7" x14ac:dyDescent="0.35">
      <c r="G632" s="40">
        <f t="shared" si="10"/>
        <v>46828</v>
      </c>
    </row>
    <row r="633" spans="7:7" x14ac:dyDescent="0.35">
      <c r="G633" s="40">
        <f t="shared" si="10"/>
        <v>46829</v>
      </c>
    </row>
    <row r="634" spans="7:7" x14ac:dyDescent="0.35">
      <c r="G634" s="40">
        <f t="shared" si="10"/>
        <v>46830</v>
      </c>
    </row>
    <row r="635" spans="7:7" x14ac:dyDescent="0.35">
      <c r="G635" s="40">
        <f t="shared" si="10"/>
        <v>46831</v>
      </c>
    </row>
    <row r="636" spans="7:7" x14ac:dyDescent="0.35">
      <c r="G636" s="40">
        <f t="shared" si="10"/>
        <v>46832</v>
      </c>
    </row>
    <row r="637" spans="7:7" x14ac:dyDescent="0.35">
      <c r="G637" s="40">
        <f t="shared" si="10"/>
        <v>46833</v>
      </c>
    </row>
    <row r="638" spans="7:7" x14ac:dyDescent="0.35">
      <c r="G638" s="40">
        <f t="shared" si="10"/>
        <v>46834</v>
      </c>
    </row>
    <row r="639" spans="7:7" x14ac:dyDescent="0.35">
      <c r="G639" s="40">
        <f t="shared" si="10"/>
        <v>46835</v>
      </c>
    </row>
    <row r="640" spans="7:7" x14ac:dyDescent="0.35">
      <c r="G640" s="40">
        <f t="shared" si="10"/>
        <v>46836</v>
      </c>
    </row>
    <row r="641" spans="7:7" x14ac:dyDescent="0.35">
      <c r="G641" s="40">
        <f t="shared" si="10"/>
        <v>46837</v>
      </c>
    </row>
    <row r="642" spans="7:7" x14ac:dyDescent="0.35">
      <c r="G642" s="40">
        <f t="shared" si="10"/>
        <v>46838</v>
      </c>
    </row>
    <row r="643" spans="7:7" x14ac:dyDescent="0.35">
      <c r="G643" s="40">
        <f t="shared" si="10"/>
        <v>46839</v>
      </c>
    </row>
    <row r="644" spans="7:7" x14ac:dyDescent="0.35">
      <c r="G644" s="40">
        <f t="shared" si="10"/>
        <v>46840</v>
      </c>
    </row>
    <row r="645" spans="7:7" x14ac:dyDescent="0.35">
      <c r="G645" s="40">
        <f t="shared" ref="G645:G708" si="11">G644+1</f>
        <v>46841</v>
      </c>
    </row>
    <row r="646" spans="7:7" x14ac:dyDescent="0.35">
      <c r="G646" s="40">
        <f t="shared" si="11"/>
        <v>46842</v>
      </c>
    </row>
    <row r="647" spans="7:7" x14ac:dyDescent="0.35">
      <c r="G647" s="40">
        <f t="shared" si="11"/>
        <v>46843</v>
      </c>
    </row>
    <row r="648" spans="7:7" x14ac:dyDescent="0.35">
      <c r="G648" s="40">
        <f t="shared" si="11"/>
        <v>46844</v>
      </c>
    </row>
    <row r="649" spans="7:7" x14ac:dyDescent="0.35">
      <c r="G649" s="40">
        <f t="shared" si="11"/>
        <v>46845</v>
      </c>
    </row>
    <row r="650" spans="7:7" x14ac:dyDescent="0.35">
      <c r="G650" s="40">
        <f t="shared" si="11"/>
        <v>46846</v>
      </c>
    </row>
    <row r="651" spans="7:7" x14ac:dyDescent="0.35">
      <c r="G651" s="40">
        <f t="shared" si="11"/>
        <v>46847</v>
      </c>
    </row>
    <row r="652" spans="7:7" x14ac:dyDescent="0.35">
      <c r="G652" s="40">
        <f t="shared" si="11"/>
        <v>46848</v>
      </c>
    </row>
    <row r="653" spans="7:7" x14ac:dyDescent="0.35">
      <c r="G653" s="40">
        <f t="shared" si="11"/>
        <v>46849</v>
      </c>
    </row>
    <row r="654" spans="7:7" x14ac:dyDescent="0.35">
      <c r="G654" s="40">
        <f t="shared" si="11"/>
        <v>46850</v>
      </c>
    </row>
    <row r="655" spans="7:7" x14ac:dyDescent="0.35">
      <c r="G655" s="40">
        <f t="shared" si="11"/>
        <v>46851</v>
      </c>
    </row>
    <row r="656" spans="7:7" x14ac:dyDescent="0.35">
      <c r="G656" s="40">
        <f t="shared" si="11"/>
        <v>46852</v>
      </c>
    </row>
    <row r="657" spans="7:7" x14ac:dyDescent="0.35">
      <c r="G657" s="40">
        <f t="shared" si="11"/>
        <v>46853</v>
      </c>
    </row>
    <row r="658" spans="7:7" x14ac:dyDescent="0.35">
      <c r="G658" s="40">
        <f t="shared" si="11"/>
        <v>46854</v>
      </c>
    </row>
    <row r="659" spans="7:7" x14ac:dyDescent="0.35">
      <c r="G659" s="40">
        <f t="shared" si="11"/>
        <v>46855</v>
      </c>
    </row>
    <row r="660" spans="7:7" x14ac:dyDescent="0.35">
      <c r="G660" s="40">
        <f t="shared" si="11"/>
        <v>46856</v>
      </c>
    </row>
    <row r="661" spans="7:7" x14ac:dyDescent="0.35">
      <c r="G661" s="40">
        <f t="shared" si="11"/>
        <v>46857</v>
      </c>
    </row>
    <row r="662" spans="7:7" x14ac:dyDescent="0.35">
      <c r="G662" s="40">
        <f t="shared" si="11"/>
        <v>46858</v>
      </c>
    </row>
    <row r="663" spans="7:7" x14ac:dyDescent="0.35">
      <c r="G663" s="40">
        <f t="shared" si="11"/>
        <v>46859</v>
      </c>
    </row>
    <row r="664" spans="7:7" x14ac:dyDescent="0.35">
      <c r="G664" s="40">
        <f t="shared" si="11"/>
        <v>46860</v>
      </c>
    </row>
    <row r="665" spans="7:7" x14ac:dyDescent="0.35">
      <c r="G665" s="40">
        <f t="shared" si="11"/>
        <v>46861</v>
      </c>
    </row>
    <row r="666" spans="7:7" x14ac:dyDescent="0.35">
      <c r="G666" s="40">
        <f t="shared" si="11"/>
        <v>46862</v>
      </c>
    </row>
    <row r="667" spans="7:7" x14ac:dyDescent="0.35">
      <c r="G667" s="40">
        <f t="shared" si="11"/>
        <v>46863</v>
      </c>
    </row>
    <row r="668" spans="7:7" x14ac:dyDescent="0.35">
      <c r="G668" s="40">
        <f t="shared" si="11"/>
        <v>46864</v>
      </c>
    </row>
    <row r="669" spans="7:7" x14ac:dyDescent="0.35">
      <c r="G669" s="40">
        <f t="shared" si="11"/>
        <v>46865</v>
      </c>
    </row>
    <row r="670" spans="7:7" x14ac:dyDescent="0.35">
      <c r="G670" s="40">
        <f t="shared" si="11"/>
        <v>46866</v>
      </c>
    </row>
    <row r="671" spans="7:7" x14ac:dyDescent="0.35">
      <c r="G671" s="40">
        <f t="shared" si="11"/>
        <v>46867</v>
      </c>
    </row>
    <row r="672" spans="7:7" x14ac:dyDescent="0.35">
      <c r="G672" s="40">
        <f t="shared" si="11"/>
        <v>46868</v>
      </c>
    </row>
    <row r="673" spans="7:7" x14ac:dyDescent="0.35">
      <c r="G673" s="40">
        <f t="shared" si="11"/>
        <v>46869</v>
      </c>
    </row>
    <row r="674" spans="7:7" x14ac:dyDescent="0.35">
      <c r="G674" s="40">
        <f t="shared" si="11"/>
        <v>46870</v>
      </c>
    </row>
    <row r="675" spans="7:7" x14ac:dyDescent="0.35">
      <c r="G675" s="40">
        <f t="shared" si="11"/>
        <v>46871</v>
      </c>
    </row>
    <row r="676" spans="7:7" x14ac:dyDescent="0.35">
      <c r="G676" s="40">
        <f t="shared" si="11"/>
        <v>46872</v>
      </c>
    </row>
    <row r="677" spans="7:7" x14ac:dyDescent="0.35">
      <c r="G677" s="40">
        <f t="shared" si="11"/>
        <v>46873</v>
      </c>
    </row>
    <row r="678" spans="7:7" x14ac:dyDescent="0.35">
      <c r="G678" s="40">
        <f t="shared" si="11"/>
        <v>46874</v>
      </c>
    </row>
    <row r="679" spans="7:7" x14ac:dyDescent="0.35">
      <c r="G679" s="40">
        <f t="shared" si="11"/>
        <v>46875</v>
      </c>
    </row>
    <row r="680" spans="7:7" x14ac:dyDescent="0.35">
      <c r="G680" s="40">
        <f t="shared" si="11"/>
        <v>46876</v>
      </c>
    </row>
    <row r="681" spans="7:7" x14ac:dyDescent="0.35">
      <c r="G681" s="40">
        <f t="shared" si="11"/>
        <v>46877</v>
      </c>
    </row>
    <row r="682" spans="7:7" x14ac:dyDescent="0.35">
      <c r="G682" s="40">
        <f t="shared" si="11"/>
        <v>46878</v>
      </c>
    </row>
    <row r="683" spans="7:7" x14ac:dyDescent="0.35">
      <c r="G683" s="40">
        <f t="shared" si="11"/>
        <v>46879</v>
      </c>
    </row>
    <row r="684" spans="7:7" x14ac:dyDescent="0.35">
      <c r="G684" s="40">
        <f t="shared" si="11"/>
        <v>46880</v>
      </c>
    </row>
    <row r="685" spans="7:7" x14ac:dyDescent="0.35">
      <c r="G685" s="40">
        <f t="shared" si="11"/>
        <v>46881</v>
      </c>
    </row>
    <row r="686" spans="7:7" x14ac:dyDescent="0.35">
      <c r="G686" s="40">
        <f t="shared" si="11"/>
        <v>46882</v>
      </c>
    </row>
    <row r="687" spans="7:7" x14ac:dyDescent="0.35">
      <c r="G687" s="40">
        <f t="shared" si="11"/>
        <v>46883</v>
      </c>
    </row>
    <row r="688" spans="7:7" x14ac:dyDescent="0.35">
      <c r="G688" s="40">
        <f t="shared" si="11"/>
        <v>46884</v>
      </c>
    </row>
    <row r="689" spans="7:7" x14ac:dyDescent="0.35">
      <c r="G689" s="40">
        <f t="shared" si="11"/>
        <v>46885</v>
      </c>
    </row>
    <row r="690" spans="7:7" x14ac:dyDescent="0.35">
      <c r="G690" s="40">
        <f t="shared" si="11"/>
        <v>46886</v>
      </c>
    </row>
    <row r="691" spans="7:7" x14ac:dyDescent="0.35">
      <c r="G691" s="40">
        <f t="shared" si="11"/>
        <v>46887</v>
      </c>
    </row>
    <row r="692" spans="7:7" x14ac:dyDescent="0.35">
      <c r="G692" s="40">
        <f t="shared" si="11"/>
        <v>46888</v>
      </c>
    </row>
    <row r="693" spans="7:7" x14ac:dyDescent="0.35">
      <c r="G693" s="40">
        <f t="shared" si="11"/>
        <v>46889</v>
      </c>
    </row>
    <row r="694" spans="7:7" x14ac:dyDescent="0.35">
      <c r="G694" s="40">
        <f t="shared" si="11"/>
        <v>46890</v>
      </c>
    </row>
    <row r="695" spans="7:7" x14ac:dyDescent="0.35">
      <c r="G695" s="40">
        <f t="shared" si="11"/>
        <v>46891</v>
      </c>
    </row>
    <row r="696" spans="7:7" x14ac:dyDescent="0.35">
      <c r="G696" s="40">
        <f t="shared" si="11"/>
        <v>46892</v>
      </c>
    </row>
    <row r="697" spans="7:7" x14ac:dyDescent="0.35">
      <c r="G697" s="40">
        <f t="shared" si="11"/>
        <v>46893</v>
      </c>
    </row>
    <row r="698" spans="7:7" x14ac:dyDescent="0.35">
      <c r="G698" s="40">
        <f t="shared" si="11"/>
        <v>46894</v>
      </c>
    </row>
    <row r="699" spans="7:7" x14ac:dyDescent="0.35">
      <c r="G699" s="40">
        <f t="shared" si="11"/>
        <v>46895</v>
      </c>
    </row>
    <row r="700" spans="7:7" x14ac:dyDescent="0.35">
      <c r="G700" s="40">
        <f t="shared" si="11"/>
        <v>46896</v>
      </c>
    </row>
    <row r="701" spans="7:7" x14ac:dyDescent="0.35">
      <c r="G701" s="40">
        <f t="shared" si="11"/>
        <v>46897</v>
      </c>
    </row>
    <row r="702" spans="7:7" x14ac:dyDescent="0.35">
      <c r="G702" s="40">
        <f t="shared" si="11"/>
        <v>46898</v>
      </c>
    </row>
    <row r="703" spans="7:7" x14ac:dyDescent="0.35">
      <c r="G703" s="40">
        <f t="shared" si="11"/>
        <v>46899</v>
      </c>
    </row>
    <row r="704" spans="7:7" x14ac:dyDescent="0.35">
      <c r="G704" s="40">
        <f t="shared" si="11"/>
        <v>46900</v>
      </c>
    </row>
    <row r="705" spans="7:7" x14ac:dyDescent="0.35">
      <c r="G705" s="40">
        <f t="shared" si="11"/>
        <v>46901</v>
      </c>
    </row>
    <row r="706" spans="7:7" x14ac:dyDescent="0.35">
      <c r="G706" s="40">
        <f t="shared" si="11"/>
        <v>46902</v>
      </c>
    </row>
    <row r="707" spans="7:7" x14ac:dyDescent="0.35">
      <c r="G707" s="40">
        <f t="shared" si="11"/>
        <v>46903</v>
      </c>
    </row>
    <row r="708" spans="7:7" x14ac:dyDescent="0.35">
      <c r="G708" s="40">
        <f t="shared" si="11"/>
        <v>46904</v>
      </c>
    </row>
    <row r="709" spans="7:7" x14ac:dyDescent="0.35">
      <c r="G709" s="40">
        <f t="shared" ref="G709:G772" si="12">G708+1</f>
        <v>46905</v>
      </c>
    </row>
    <row r="710" spans="7:7" x14ac:dyDescent="0.35">
      <c r="G710" s="40">
        <f t="shared" si="12"/>
        <v>46906</v>
      </c>
    </row>
    <row r="711" spans="7:7" x14ac:dyDescent="0.35">
      <c r="G711" s="40">
        <f t="shared" si="12"/>
        <v>46907</v>
      </c>
    </row>
    <row r="712" spans="7:7" x14ac:dyDescent="0.35">
      <c r="G712" s="40">
        <f t="shared" si="12"/>
        <v>46908</v>
      </c>
    </row>
    <row r="713" spans="7:7" x14ac:dyDescent="0.35">
      <c r="G713" s="40">
        <f t="shared" si="12"/>
        <v>46909</v>
      </c>
    </row>
    <row r="714" spans="7:7" x14ac:dyDescent="0.35">
      <c r="G714" s="40">
        <f t="shared" si="12"/>
        <v>46910</v>
      </c>
    </row>
    <row r="715" spans="7:7" x14ac:dyDescent="0.35">
      <c r="G715" s="40">
        <f t="shared" si="12"/>
        <v>46911</v>
      </c>
    </row>
    <row r="716" spans="7:7" x14ac:dyDescent="0.35">
      <c r="G716" s="40">
        <f t="shared" si="12"/>
        <v>46912</v>
      </c>
    </row>
    <row r="717" spans="7:7" x14ac:dyDescent="0.35">
      <c r="G717" s="40">
        <f t="shared" si="12"/>
        <v>46913</v>
      </c>
    </row>
    <row r="718" spans="7:7" x14ac:dyDescent="0.35">
      <c r="G718" s="40">
        <f t="shared" si="12"/>
        <v>46914</v>
      </c>
    </row>
    <row r="719" spans="7:7" x14ac:dyDescent="0.35">
      <c r="G719" s="40">
        <f t="shared" si="12"/>
        <v>46915</v>
      </c>
    </row>
    <row r="720" spans="7:7" x14ac:dyDescent="0.35">
      <c r="G720" s="40">
        <f t="shared" si="12"/>
        <v>46916</v>
      </c>
    </row>
    <row r="721" spans="7:7" x14ac:dyDescent="0.35">
      <c r="G721" s="40">
        <f t="shared" si="12"/>
        <v>46917</v>
      </c>
    </row>
    <row r="722" spans="7:7" x14ac:dyDescent="0.35">
      <c r="G722" s="40">
        <f t="shared" si="12"/>
        <v>46918</v>
      </c>
    </row>
    <row r="723" spans="7:7" x14ac:dyDescent="0.35">
      <c r="G723" s="40">
        <f t="shared" si="12"/>
        <v>46919</v>
      </c>
    </row>
    <row r="724" spans="7:7" x14ac:dyDescent="0.35">
      <c r="G724" s="40">
        <f t="shared" si="12"/>
        <v>46920</v>
      </c>
    </row>
    <row r="725" spans="7:7" x14ac:dyDescent="0.35">
      <c r="G725" s="40">
        <f t="shared" si="12"/>
        <v>46921</v>
      </c>
    </row>
    <row r="726" spans="7:7" x14ac:dyDescent="0.35">
      <c r="G726" s="40">
        <f t="shared" si="12"/>
        <v>46922</v>
      </c>
    </row>
    <row r="727" spans="7:7" x14ac:dyDescent="0.35">
      <c r="G727" s="40">
        <f t="shared" si="12"/>
        <v>46923</v>
      </c>
    </row>
    <row r="728" spans="7:7" x14ac:dyDescent="0.35">
      <c r="G728" s="40">
        <f t="shared" si="12"/>
        <v>46924</v>
      </c>
    </row>
    <row r="729" spans="7:7" x14ac:dyDescent="0.35">
      <c r="G729" s="40">
        <f t="shared" si="12"/>
        <v>46925</v>
      </c>
    </row>
    <row r="730" spans="7:7" x14ac:dyDescent="0.35">
      <c r="G730" s="40">
        <f t="shared" si="12"/>
        <v>46926</v>
      </c>
    </row>
    <row r="731" spans="7:7" x14ac:dyDescent="0.35">
      <c r="G731" s="40">
        <f t="shared" si="12"/>
        <v>46927</v>
      </c>
    </row>
    <row r="732" spans="7:7" x14ac:dyDescent="0.35">
      <c r="G732" s="40">
        <f t="shared" si="12"/>
        <v>46928</v>
      </c>
    </row>
    <row r="733" spans="7:7" x14ac:dyDescent="0.35">
      <c r="G733" s="40">
        <f t="shared" si="12"/>
        <v>46929</v>
      </c>
    </row>
    <row r="734" spans="7:7" x14ac:dyDescent="0.35">
      <c r="G734" s="40">
        <f t="shared" si="12"/>
        <v>46930</v>
      </c>
    </row>
    <row r="735" spans="7:7" x14ac:dyDescent="0.35">
      <c r="G735" s="40">
        <f t="shared" si="12"/>
        <v>46931</v>
      </c>
    </row>
    <row r="736" spans="7:7" x14ac:dyDescent="0.35">
      <c r="G736" s="40">
        <f t="shared" si="12"/>
        <v>46932</v>
      </c>
    </row>
    <row r="737" spans="7:7" x14ac:dyDescent="0.35">
      <c r="G737" s="40">
        <f t="shared" si="12"/>
        <v>46933</v>
      </c>
    </row>
    <row r="738" spans="7:7" x14ac:dyDescent="0.35">
      <c r="G738" s="40">
        <f t="shared" si="12"/>
        <v>46934</v>
      </c>
    </row>
    <row r="739" spans="7:7" x14ac:dyDescent="0.35">
      <c r="G739" s="40">
        <f t="shared" si="12"/>
        <v>46935</v>
      </c>
    </row>
    <row r="740" spans="7:7" x14ac:dyDescent="0.35">
      <c r="G740" s="40">
        <f t="shared" si="12"/>
        <v>46936</v>
      </c>
    </row>
    <row r="741" spans="7:7" x14ac:dyDescent="0.35">
      <c r="G741" s="40">
        <f t="shared" si="12"/>
        <v>46937</v>
      </c>
    </row>
    <row r="742" spans="7:7" x14ac:dyDescent="0.35">
      <c r="G742" s="40">
        <f t="shared" si="12"/>
        <v>46938</v>
      </c>
    </row>
    <row r="743" spans="7:7" x14ac:dyDescent="0.35">
      <c r="G743" s="40">
        <f t="shared" si="12"/>
        <v>46939</v>
      </c>
    </row>
    <row r="744" spans="7:7" x14ac:dyDescent="0.35">
      <c r="G744" s="40">
        <f t="shared" si="12"/>
        <v>46940</v>
      </c>
    </row>
    <row r="745" spans="7:7" x14ac:dyDescent="0.35">
      <c r="G745" s="40">
        <f t="shared" si="12"/>
        <v>46941</v>
      </c>
    </row>
    <row r="746" spans="7:7" x14ac:dyDescent="0.35">
      <c r="G746" s="40">
        <f t="shared" si="12"/>
        <v>46942</v>
      </c>
    </row>
    <row r="747" spans="7:7" x14ac:dyDescent="0.35">
      <c r="G747" s="40">
        <f t="shared" si="12"/>
        <v>46943</v>
      </c>
    </row>
    <row r="748" spans="7:7" x14ac:dyDescent="0.35">
      <c r="G748" s="40">
        <f t="shared" si="12"/>
        <v>46944</v>
      </c>
    </row>
    <row r="749" spans="7:7" x14ac:dyDescent="0.35">
      <c r="G749" s="40">
        <f t="shared" si="12"/>
        <v>46945</v>
      </c>
    </row>
    <row r="750" spans="7:7" x14ac:dyDescent="0.35">
      <c r="G750" s="40">
        <f t="shared" si="12"/>
        <v>46946</v>
      </c>
    </row>
    <row r="751" spans="7:7" x14ac:dyDescent="0.35">
      <c r="G751" s="40">
        <f t="shared" si="12"/>
        <v>46947</v>
      </c>
    </row>
    <row r="752" spans="7:7" x14ac:dyDescent="0.35">
      <c r="G752" s="40">
        <f t="shared" si="12"/>
        <v>46948</v>
      </c>
    </row>
    <row r="753" spans="7:7" x14ac:dyDescent="0.35">
      <c r="G753" s="40">
        <f t="shared" si="12"/>
        <v>46949</v>
      </c>
    </row>
    <row r="754" spans="7:7" x14ac:dyDescent="0.35">
      <c r="G754" s="40">
        <f t="shared" si="12"/>
        <v>46950</v>
      </c>
    </row>
    <row r="755" spans="7:7" x14ac:dyDescent="0.35">
      <c r="G755" s="40">
        <f t="shared" si="12"/>
        <v>46951</v>
      </c>
    </row>
    <row r="756" spans="7:7" x14ac:dyDescent="0.35">
      <c r="G756" s="40">
        <f t="shared" si="12"/>
        <v>46952</v>
      </c>
    </row>
    <row r="757" spans="7:7" x14ac:dyDescent="0.35">
      <c r="G757" s="40">
        <f t="shared" si="12"/>
        <v>46953</v>
      </c>
    </row>
    <row r="758" spans="7:7" x14ac:dyDescent="0.35">
      <c r="G758" s="40">
        <f t="shared" si="12"/>
        <v>46954</v>
      </c>
    </row>
    <row r="759" spans="7:7" x14ac:dyDescent="0.35">
      <c r="G759" s="40">
        <f t="shared" si="12"/>
        <v>46955</v>
      </c>
    </row>
    <row r="760" spans="7:7" x14ac:dyDescent="0.35">
      <c r="G760" s="40">
        <f t="shared" si="12"/>
        <v>46956</v>
      </c>
    </row>
    <row r="761" spans="7:7" x14ac:dyDescent="0.35">
      <c r="G761" s="40">
        <f t="shared" si="12"/>
        <v>46957</v>
      </c>
    </row>
    <row r="762" spans="7:7" x14ac:dyDescent="0.35">
      <c r="G762" s="40">
        <f t="shared" si="12"/>
        <v>46958</v>
      </c>
    </row>
    <row r="763" spans="7:7" x14ac:dyDescent="0.35">
      <c r="G763" s="40">
        <f t="shared" si="12"/>
        <v>46959</v>
      </c>
    </row>
    <row r="764" spans="7:7" x14ac:dyDescent="0.35">
      <c r="G764" s="40">
        <f t="shared" si="12"/>
        <v>46960</v>
      </c>
    </row>
    <row r="765" spans="7:7" x14ac:dyDescent="0.35">
      <c r="G765" s="40">
        <f t="shared" si="12"/>
        <v>46961</v>
      </c>
    </row>
    <row r="766" spans="7:7" x14ac:dyDescent="0.35">
      <c r="G766" s="40">
        <f t="shared" si="12"/>
        <v>46962</v>
      </c>
    </row>
    <row r="767" spans="7:7" x14ac:dyDescent="0.35">
      <c r="G767" s="40">
        <f t="shared" si="12"/>
        <v>46963</v>
      </c>
    </row>
    <row r="768" spans="7:7" x14ac:dyDescent="0.35">
      <c r="G768" s="40">
        <f t="shared" si="12"/>
        <v>46964</v>
      </c>
    </row>
    <row r="769" spans="7:7" x14ac:dyDescent="0.35">
      <c r="G769" s="40">
        <f t="shared" si="12"/>
        <v>46965</v>
      </c>
    </row>
    <row r="770" spans="7:7" x14ac:dyDescent="0.35">
      <c r="G770" s="40">
        <f t="shared" si="12"/>
        <v>46966</v>
      </c>
    </row>
    <row r="771" spans="7:7" x14ac:dyDescent="0.35">
      <c r="G771" s="40">
        <f t="shared" si="12"/>
        <v>46967</v>
      </c>
    </row>
    <row r="772" spans="7:7" x14ac:dyDescent="0.35">
      <c r="G772" s="40">
        <f t="shared" si="12"/>
        <v>46968</v>
      </c>
    </row>
    <row r="773" spans="7:7" x14ac:dyDescent="0.35">
      <c r="G773" s="40">
        <f t="shared" ref="G773:G836" si="13">G772+1</f>
        <v>46969</v>
      </c>
    </row>
    <row r="774" spans="7:7" x14ac:dyDescent="0.35">
      <c r="G774" s="40">
        <f t="shared" si="13"/>
        <v>46970</v>
      </c>
    </row>
    <row r="775" spans="7:7" x14ac:dyDescent="0.35">
      <c r="G775" s="40">
        <f t="shared" si="13"/>
        <v>46971</v>
      </c>
    </row>
    <row r="776" spans="7:7" x14ac:dyDescent="0.35">
      <c r="G776" s="40">
        <f t="shared" si="13"/>
        <v>46972</v>
      </c>
    </row>
    <row r="777" spans="7:7" x14ac:dyDescent="0.35">
      <c r="G777" s="40">
        <f t="shared" si="13"/>
        <v>46973</v>
      </c>
    </row>
    <row r="778" spans="7:7" x14ac:dyDescent="0.35">
      <c r="G778" s="40">
        <f t="shared" si="13"/>
        <v>46974</v>
      </c>
    </row>
    <row r="779" spans="7:7" x14ac:dyDescent="0.35">
      <c r="G779" s="40">
        <f t="shared" si="13"/>
        <v>46975</v>
      </c>
    </row>
    <row r="780" spans="7:7" x14ac:dyDescent="0.35">
      <c r="G780" s="40">
        <f t="shared" si="13"/>
        <v>46976</v>
      </c>
    </row>
    <row r="781" spans="7:7" x14ac:dyDescent="0.35">
      <c r="G781" s="40">
        <f t="shared" si="13"/>
        <v>46977</v>
      </c>
    </row>
    <row r="782" spans="7:7" x14ac:dyDescent="0.35">
      <c r="G782" s="40">
        <f t="shared" si="13"/>
        <v>46978</v>
      </c>
    </row>
    <row r="783" spans="7:7" x14ac:dyDescent="0.35">
      <c r="G783" s="40">
        <f t="shared" si="13"/>
        <v>46979</v>
      </c>
    </row>
    <row r="784" spans="7:7" x14ac:dyDescent="0.35">
      <c r="G784" s="40">
        <f t="shared" si="13"/>
        <v>46980</v>
      </c>
    </row>
    <row r="785" spans="7:7" x14ac:dyDescent="0.35">
      <c r="G785" s="40">
        <f t="shared" si="13"/>
        <v>46981</v>
      </c>
    </row>
    <row r="786" spans="7:7" x14ac:dyDescent="0.35">
      <c r="G786" s="40">
        <f t="shared" si="13"/>
        <v>46982</v>
      </c>
    </row>
    <row r="787" spans="7:7" x14ac:dyDescent="0.35">
      <c r="G787" s="40">
        <f t="shared" si="13"/>
        <v>46983</v>
      </c>
    </row>
    <row r="788" spans="7:7" x14ac:dyDescent="0.35">
      <c r="G788" s="40">
        <f t="shared" si="13"/>
        <v>46984</v>
      </c>
    </row>
    <row r="789" spans="7:7" x14ac:dyDescent="0.35">
      <c r="G789" s="40">
        <f t="shared" si="13"/>
        <v>46985</v>
      </c>
    </row>
    <row r="790" spans="7:7" x14ac:dyDescent="0.35">
      <c r="G790" s="40">
        <f t="shared" si="13"/>
        <v>46986</v>
      </c>
    </row>
    <row r="791" spans="7:7" x14ac:dyDescent="0.35">
      <c r="G791" s="40">
        <f t="shared" si="13"/>
        <v>46987</v>
      </c>
    </row>
    <row r="792" spans="7:7" x14ac:dyDescent="0.35">
      <c r="G792" s="40">
        <f t="shared" si="13"/>
        <v>46988</v>
      </c>
    </row>
    <row r="793" spans="7:7" x14ac:dyDescent="0.35">
      <c r="G793" s="40">
        <f t="shared" si="13"/>
        <v>46989</v>
      </c>
    </row>
    <row r="794" spans="7:7" x14ac:dyDescent="0.35">
      <c r="G794" s="40">
        <f t="shared" si="13"/>
        <v>46990</v>
      </c>
    </row>
    <row r="795" spans="7:7" x14ac:dyDescent="0.35">
      <c r="G795" s="40">
        <f t="shared" si="13"/>
        <v>46991</v>
      </c>
    </row>
    <row r="796" spans="7:7" x14ac:dyDescent="0.35">
      <c r="G796" s="40">
        <f t="shared" si="13"/>
        <v>46992</v>
      </c>
    </row>
    <row r="797" spans="7:7" x14ac:dyDescent="0.35">
      <c r="G797" s="40">
        <f t="shared" si="13"/>
        <v>46993</v>
      </c>
    </row>
    <row r="798" spans="7:7" x14ac:dyDescent="0.35">
      <c r="G798" s="40">
        <f t="shared" si="13"/>
        <v>46994</v>
      </c>
    </row>
    <row r="799" spans="7:7" x14ac:dyDescent="0.35">
      <c r="G799" s="40">
        <f t="shared" si="13"/>
        <v>46995</v>
      </c>
    </row>
    <row r="800" spans="7:7" x14ac:dyDescent="0.35">
      <c r="G800" s="40">
        <f t="shared" si="13"/>
        <v>46996</v>
      </c>
    </row>
    <row r="801" spans="7:7" x14ac:dyDescent="0.35">
      <c r="G801" s="40">
        <f t="shared" si="13"/>
        <v>46997</v>
      </c>
    </row>
    <row r="802" spans="7:7" x14ac:dyDescent="0.35">
      <c r="G802" s="40">
        <f t="shared" si="13"/>
        <v>46998</v>
      </c>
    </row>
    <row r="803" spans="7:7" x14ac:dyDescent="0.35">
      <c r="G803" s="40">
        <f t="shared" si="13"/>
        <v>46999</v>
      </c>
    </row>
    <row r="804" spans="7:7" x14ac:dyDescent="0.35">
      <c r="G804" s="40">
        <f t="shared" si="13"/>
        <v>47000</v>
      </c>
    </row>
    <row r="805" spans="7:7" x14ac:dyDescent="0.35">
      <c r="G805" s="40">
        <f t="shared" si="13"/>
        <v>47001</v>
      </c>
    </row>
    <row r="806" spans="7:7" x14ac:dyDescent="0.35">
      <c r="G806" s="40">
        <f t="shared" si="13"/>
        <v>47002</v>
      </c>
    </row>
    <row r="807" spans="7:7" x14ac:dyDescent="0.35">
      <c r="G807" s="40">
        <f t="shared" si="13"/>
        <v>47003</v>
      </c>
    </row>
    <row r="808" spans="7:7" x14ac:dyDescent="0.35">
      <c r="G808" s="40">
        <f t="shared" si="13"/>
        <v>47004</v>
      </c>
    </row>
    <row r="809" spans="7:7" x14ac:dyDescent="0.35">
      <c r="G809" s="40">
        <f t="shared" si="13"/>
        <v>47005</v>
      </c>
    </row>
    <row r="810" spans="7:7" x14ac:dyDescent="0.35">
      <c r="G810" s="40">
        <f t="shared" si="13"/>
        <v>47006</v>
      </c>
    </row>
    <row r="811" spans="7:7" x14ac:dyDescent="0.35">
      <c r="G811" s="40">
        <f t="shared" si="13"/>
        <v>47007</v>
      </c>
    </row>
    <row r="812" spans="7:7" x14ac:dyDescent="0.35">
      <c r="G812" s="40">
        <f t="shared" si="13"/>
        <v>47008</v>
      </c>
    </row>
    <row r="813" spans="7:7" x14ac:dyDescent="0.35">
      <c r="G813" s="40">
        <f t="shared" si="13"/>
        <v>47009</v>
      </c>
    </row>
    <row r="814" spans="7:7" x14ac:dyDescent="0.35">
      <c r="G814" s="40">
        <f t="shared" si="13"/>
        <v>47010</v>
      </c>
    </row>
    <row r="815" spans="7:7" x14ac:dyDescent="0.35">
      <c r="G815" s="40">
        <f t="shared" si="13"/>
        <v>47011</v>
      </c>
    </row>
    <row r="816" spans="7:7" x14ac:dyDescent="0.35">
      <c r="G816" s="40">
        <f t="shared" si="13"/>
        <v>47012</v>
      </c>
    </row>
    <row r="817" spans="7:7" x14ac:dyDescent="0.35">
      <c r="G817" s="40">
        <f t="shared" si="13"/>
        <v>47013</v>
      </c>
    </row>
    <row r="818" spans="7:7" x14ac:dyDescent="0.35">
      <c r="G818" s="40">
        <f t="shared" si="13"/>
        <v>47014</v>
      </c>
    </row>
    <row r="819" spans="7:7" x14ac:dyDescent="0.35">
      <c r="G819" s="40">
        <f t="shared" si="13"/>
        <v>47015</v>
      </c>
    </row>
    <row r="820" spans="7:7" x14ac:dyDescent="0.35">
      <c r="G820" s="40">
        <f t="shared" si="13"/>
        <v>47016</v>
      </c>
    </row>
    <row r="821" spans="7:7" x14ac:dyDescent="0.35">
      <c r="G821" s="40">
        <f t="shared" si="13"/>
        <v>47017</v>
      </c>
    </row>
    <row r="822" spans="7:7" x14ac:dyDescent="0.35">
      <c r="G822" s="40">
        <f t="shared" si="13"/>
        <v>47018</v>
      </c>
    </row>
    <row r="823" spans="7:7" x14ac:dyDescent="0.35">
      <c r="G823" s="40">
        <f t="shared" si="13"/>
        <v>47019</v>
      </c>
    </row>
    <row r="824" spans="7:7" x14ac:dyDescent="0.35">
      <c r="G824" s="40">
        <f t="shared" si="13"/>
        <v>47020</v>
      </c>
    </row>
    <row r="825" spans="7:7" x14ac:dyDescent="0.35">
      <c r="G825" s="40">
        <f t="shared" si="13"/>
        <v>47021</v>
      </c>
    </row>
    <row r="826" spans="7:7" x14ac:dyDescent="0.35">
      <c r="G826" s="40">
        <f t="shared" si="13"/>
        <v>47022</v>
      </c>
    </row>
    <row r="827" spans="7:7" x14ac:dyDescent="0.35">
      <c r="G827" s="40">
        <f t="shared" si="13"/>
        <v>47023</v>
      </c>
    </row>
    <row r="828" spans="7:7" x14ac:dyDescent="0.35">
      <c r="G828" s="40">
        <f t="shared" si="13"/>
        <v>47024</v>
      </c>
    </row>
    <row r="829" spans="7:7" x14ac:dyDescent="0.35">
      <c r="G829" s="40">
        <f t="shared" si="13"/>
        <v>47025</v>
      </c>
    </row>
    <row r="830" spans="7:7" x14ac:dyDescent="0.35">
      <c r="G830" s="40">
        <f t="shared" si="13"/>
        <v>47026</v>
      </c>
    </row>
    <row r="831" spans="7:7" x14ac:dyDescent="0.35">
      <c r="G831" s="40">
        <f t="shared" si="13"/>
        <v>47027</v>
      </c>
    </row>
    <row r="832" spans="7:7" x14ac:dyDescent="0.35">
      <c r="G832" s="40">
        <f t="shared" si="13"/>
        <v>47028</v>
      </c>
    </row>
    <row r="833" spans="7:7" x14ac:dyDescent="0.35">
      <c r="G833" s="40">
        <f t="shared" si="13"/>
        <v>47029</v>
      </c>
    </row>
    <row r="834" spans="7:7" x14ac:dyDescent="0.35">
      <c r="G834" s="40">
        <f t="shared" si="13"/>
        <v>47030</v>
      </c>
    </row>
    <row r="835" spans="7:7" x14ac:dyDescent="0.35">
      <c r="G835" s="40">
        <f t="shared" si="13"/>
        <v>47031</v>
      </c>
    </row>
    <row r="836" spans="7:7" x14ac:dyDescent="0.35">
      <c r="G836" s="40">
        <f t="shared" si="13"/>
        <v>47032</v>
      </c>
    </row>
    <row r="837" spans="7:7" x14ac:dyDescent="0.35">
      <c r="G837" s="40">
        <f t="shared" ref="G837:G900" si="14">G836+1</f>
        <v>47033</v>
      </c>
    </row>
    <row r="838" spans="7:7" x14ac:dyDescent="0.35">
      <c r="G838" s="40">
        <f t="shared" si="14"/>
        <v>47034</v>
      </c>
    </row>
    <row r="839" spans="7:7" x14ac:dyDescent="0.35">
      <c r="G839" s="40">
        <f t="shared" si="14"/>
        <v>47035</v>
      </c>
    </row>
    <row r="840" spans="7:7" x14ac:dyDescent="0.35">
      <c r="G840" s="40">
        <f t="shared" si="14"/>
        <v>47036</v>
      </c>
    </row>
    <row r="841" spans="7:7" x14ac:dyDescent="0.35">
      <c r="G841" s="40">
        <f t="shared" si="14"/>
        <v>47037</v>
      </c>
    </row>
    <row r="842" spans="7:7" x14ac:dyDescent="0.35">
      <c r="G842" s="40">
        <f t="shared" si="14"/>
        <v>47038</v>
      </c>
    </row>
    <row r="843" spans="7:7" x14ac:dyDescent="0.35">
      <c r="G843" s="40">
        <f t="shared" si="14"/>
        <v>47039</v>
      </c>
    </row>
    <row r="844" spans="7:7" x14ac:dyDescent="0.35">
      <c r="G844" s="40">
        <f t="shared" si="14"/>
        <v>47040</v>
      </c>
    </row>
    <row r="845" spans="7:7" x14ac:dyDescent="0.35">
      <c r="G845" s="40">
        <f t="shared" si="14"/>
        <v>47041</v>
      </c>
    </row>
    <row r="846" spans="7:7" x14ac:dyDescent="0.35">
      <c r="G846" s="40">
        <f t="shared" si="14"/>
        <v>47042</v>
      </c>
    </row>
    <row r="847" spans="7:7" x14ac:dyDescent="0.35">
      <c r="G847" s="40">
        <f t="shared" si="14"/>
        <v>47043</v>
      </c>
    </row>
    <row r="848" spans="7:7" x14ac:dyDescent="0.35">
      <c r="G848" s="40">
        <f t="shared" si="14"/>
        <v>47044</v>
      </c>
    </row>
    <row r="849" spans="7:7" x14ac:dyDescent="0.35">
      <c r="G849" s="40">
        <f t="shared" si="14"/>
        <v>47045</v>
      </c>
    </row>
    <row r="850" spans="7:7" x14ac:dyDescent="0.35">
      <c r="G850" s="40">
        <f t="shared" si="14"/>
        <v>47046</v>
      </c>
    </row>
    <row r="851" spans="7:7" x14ac:dyDescent="0.35">
      <c r="G851" s="40">
        <f t="shared" si="14"/>
        <v>47047</v>
      </c>
    </row>
    <row r="852" spans="7:7" x14ac:dyDescent="0.35">
      <c r="G852" s="40">
        <f t="shared" si="14"/>
        <v>47048</v>
      </c>
    </row>
    <row r="853" spans="7:7" x14ac:dyDescent="0.35">
      <c r="G853" s="40">
        <f t="shared" si="14"/>
        <v>47049</v>
      </c>
    </row>
    <row r="854" spans="7:7" x14ac:dyDescent="0.35">
      <c r="G854" s="40">
        <f t="shared" si="14"/>
        <v>47050</v>
      </c>
    </row>
    <row r="855" spans="7:7" x14ac:dyDescent="0.35">
      <c r="G855" s="40">
        <f t="shared" si="14"/>
        <v>47051</v>
      </c>
    </row>
    <row r="856" spans="7:7" x14ac:dyDescent="0.35">
      <c r="G856" s="40">
        <f t="shared" si="14"/>
        <v>47052</v>
      </c>
    </row>
    <row r="857" spans="7:7" x14ac:dyDescent="0.35">
      <c r="G857" s="40">
        <f t="shared" si="14"/>
        <v>47053</v>
      </c>
    </row>
    <row r="858" spans="7:7" x14ac:dyDescent="0.35">
      <c r="G858" s="40">
        <f t="shared" si="14"/>
        <v>47054</v>
      </c>
    </row>
    <row r="859" spans="7:7" x14ac:dyDescent="0.35">
      <c r="G859" s="40">
        <f t="shared" si="14"/>
        <v>47055</v>
      </c>
    </row>
    <row r="860" spans="7:7" x14ac:dyDescent="0.35">
      <c r="G860" s="40">
        <f t="shared" si="14"/>
        <v>47056</v>
      </c>
    </row>
    <row r="861" spans="7:7" x14ac:dyDescent="0.35">
      <c r="G861" s="40">
        <f t="shared" si="14"/>
        <v>47057</v>
      </c>
    </row>
    <row r="862" spans="7:7" x14ac:dyDescent="0.35">
      <c r="G862" s="40">
        <f t="shared" si="14"/>
        <v>47058</v>
      </c>
    </row>
    <row r="863" spans="7:7" x14ac:dyDescent="0.35">
      <c r="G863" s="40">
        <f t="shared" si="14"/>
        <v>47059</v>
      </c>
    </row>
    <row r="864" spans="7:7" x14ac:dyDescent="0.35">
      <c r="G864" s="40">
        <f t="shared" si="14"/>
        <v>47060</v>
      </c>
    </row>
    <row r="865" spans="7:7" x14ac:dyDescent="0.35">
      <c r="G865" s="40">
        <f t="shared" si="14"/>
        <v>47061</v>
      </c>
    </row>
    <row r="866" spans="7:7" x14ac:dyDescent="0.35">
      <c r="G866" s="40">
        <f t="shared" si="14"/>
        <v>47062</v>
      </c>
    </row>
    <row r="867" spans="7:7" x14ac:dyDescent="0.35">
      <c r="G867" s="40">
        <f t="shared" si="14"/>
        <v>47063</v>
      </c>
    </row>
    <row r="868" spans="7:7" x14ac:dyDescent="0.35">
      <c r="G868" s="40">
        <f t="shared" si="14"/>
        <v>47064</v>
      </c>
    </row>
    <row r="869" spans="7:7" x14ac:dyDescent="0.35">
      <c r="G869" s="40">
        <f t="shared" si="14"/>
        <v>47065</v>
      </c>
    </row>
    <row r="870" spans="7:7" x14ac:dyDescent="0.35">
      <c r="G870" s="40">
        <f t="shared" si="14"/>
        <v>47066</v>
      </c>
    </row>
    <row r="871" spans="7:7" x14ac:dyDescent="0.35">
      <c r="G871" s="40">
        <f t="shared" si="14"/>
        <v>47067</v>
      </c>
    </row>
    <row r="872" spans="7:7" x14ac:dyDescent="0.35">
      <c r="G872" s="40">
        <f t="shared" si="14"/>
        <v>47068</v>
      </c>
    </row>
    <row r="873" spans="7:7" x14ac:dyDescent="0.35">
      <c r="G873" s="40">
        <f t="shared" si="14"/>
        <v>47069</v>
      </c>
    </row>
    <row r="874" spans="7:7" x14ac:dyDescent="0.35">
      <c r="G874" s="40">
        <f t="shared" si="14"/>
        <v>47070</v>
      </c>
    </row>
    <row r="875" spans="7:7" x14ac:dyDescent="0.35">
      <c r="G875" s="40">
        <f t="shared" si="14"/>
        <v>47071</v>
      </c>
    </row>
    <row r="876" spans="7:7" x14ac:dyDescent="0.35">
      <c r="G876" s="40">
        <f t="shared" si="14"/>
        <v>47072</v>
      </c>
    </row>
    <row r="877" spans="7:7" x14ac:dyDescent="0.35">
      <c r="G877" s="40">
        <f t="shared" si="14"/>
        <v>47073</v>
      </c>
    </row>
    <row r="878" spans="7:7" x14ac:dyDescent="0.35">
      <c r="G878" s="40">
        <f t="shared" si="14"/>
        <v>47074</v>
      </c>
    </row>
    <row r="879" spans="7:7" x14ac:dyDescent="0.35">
      <c r="G879" s="40">
        <f t="shared" si="14"/>
        <v>47075</v>
      </c>
    </row>
    <row r="880" spans="7:7" x14ac:dyDescent="0.35">
      <c r="G880" s="40">
        <f t="shared" si="14"/>
        <v>47076</v>
      </c>
    </row>
    <row r="881" spans="7:7" x14ac:dyDescent="0.35">
      <c r="G881" s="40">
        <f t="shared" si="14"/>
        <v>47077</v>
      </c>
    </row>
    <row r="882" spans="7:7" x14ac:dyDescent="0.35">
      <c r="G882" s="40">
        <f t="shared" si="14"/>
        <v>47078</v>
      </c>
    </row>
    <row r="883" spans="7:7" x14ac:dyDescent="0.35">
      <c r="G883" s="40">
        <f t="shared" si="14"/>
        <v>47079</v>
      </c>
    </row>
    <row r="884" spans="7:7" x14ac:dyDescent="0.35">
      <c r="G884" s="40">
        <f t="shared" si="14"/>
        <v>47080</v>
      </c>
    </row>
    <row r="885" spans="7:7" x14ac:dyDescent="0.35">
      <c r="G885" s="40">
        <f t="shared" si="14"/>
        <v>47081</v>
      </c>
    </row>
    <row r="886" spans="7:7" x14ac:dyDescent="0.35">
      <c r="G886" s="40">
        <f t="shared" si="14"/>
        <v>47082</v>
      </c>
    </row>
    <row r="887" spans="7:7" x14ac:dyDescent="0.35">
      <c r="G887" s="40">
        <f t="shared" si="14"/>
        <v>47083</v>
      </c>
    </row>
    <row r="888" spans="7:7" x14ac:dyDescent="0.35">
      <c r="G888" s="40">
        <f t="shared" si="14"/>
        <v>47084</v>
      </c>
    </row>
    <row r="889" spans="7:7" x14ac:dyDescent="0.35">
      <c r="G889" s="40">
        <f t="shared" si="14"/>
        <v>47085</v>
      </c>
    </row>
    <row r="890" spans="7:7" x14ac:dyDescent="0.35">
      <c r="G890" s="40">
        <f t="shared" si="14"/>
        <v>47086</v>
      </c>
    </row>
    <row r="891" spans="7:7" x14ac:dyDescent="0.35">
      <c r="G891" s="40">
        <f t="shared" si="14"/>
        <v>47087</v>
      </c>
    </row>
    <row r="892" spans="7:7" x14ac:dyDescent="0.35">
      <c r="G892" s="40">
        <f t="shared" si="14"/>
        <v>47088</v>
      </c>
    </row>
    <row r="893" spans="7:7" x14ac:dyDescent="0.35">
      <c r="G893" s="40">
        <f t="shared" si="14"/>
        <v>47089</v>
      </c>
    </row>
    <row r="894" spans="7:7" x14ac:dyDescent="0.35">
      <c r="G894" s="40">
        <f t="shared" si="14"/>
        <v>47090</v>
      </c>
    </row>
    <row r="895" spans="7:7" x14ac:dyDescent="0.35">
      <c r="G895" s="40">
        <f t="shared" si="14"/>
        <v>47091</v>
      </c>
    </row>
    <row r="896" spans="7:7" x14ac:dyDescent="0.35">
      <c r="G896" s="40">
        <f t="shared" si="14"/>
        <v>47092</v>
      </c>
    </row>
    <row r="897" spans="7:7" x14ac:dyDescent="0.35">
      <c r="G897" s="40">
        <f t="shared" si="14"/>
        <v>47093</v>
      </c>
    </row>
    <row r="898" spans="7:7" x14ac:dyDescent="0.35">
      <c r="G898" s="40">
        <f t="shared" si="14"/>
        <v>47094</v>
      </c>
    </row>
    <row r="899" spans="7:7" x14ac:dyDescent="0.35">
      <c r="G899" s="40">
        <f t="shared" si="14"/>
        <v>47095</v>
      </c>
    </row>
    <row r="900" spans="7:7" x14ac:dyDescent="0.35">
      <c r="G900" s="40">
        <f t="shared" si="14"/>
        <v>47096</v>
      </c>
    </row>
    <row r="901" spans="7:7" x14ac:dyDescent="0.35">
      <c r="G901" s="40">
        <f t="shared" ref="G901:G964" si="15">G900+1</f>
        <v>47097</v>
      </c>
    </row>
    <row r="902" spans="7:7" x14ac:dyDescent="0.35">
      <c r="G902" s="40">
        <f t="shared" si="15"/>
        <v>47098</v>
      </c>
    </row>
    <row r="903" spans="7:7" x14ac:dyDescent="0.35">
      <c r="G903" s="40">
        <f t="shared" si="15"/>
        <v>47099</v>
      </c>
    </row>
    <row r="904" spans="7:7" x14ac:dyDescent="0.35">
      <c r="G904" s="40">
        <f t="shared" si="15"/>
        <v>47100</v>
      </c>
    </row>
    <row r="905" spans="7:7" x14ac:dyDescent="0.35">
      <c r="G905" s="40">
        <f t="shared" si="15"/>
        <v>47101</v>
      </c>
    </row>
    <row r="906" spans="7:7" x14ac:dyDescent="0.35">
      <c r="G906" s="40">
        <f t="shared" si="15"/>
        <v>47102</v>
      </c>
    </row>
    <row r="907" spans="7:7" x14ac:dyDescent="0.35">
      <c r="G907" s="40">
        <f t="shared" si="15"/>
        <v>47103</v>
      </c>
    </row>
    <row r="908" spans="7:7" x14ac:dyDescent="0.35">
      <c r="G908" s="40">
        <f t="shared" si="15"/>
        <v>47104</v>
      </c>
    </row>
    <row r="909" spans="7:7" x14ac:dyDescent="0.35">
      <c r="G909" s="40">
        <f t="shared" si="15"/>
        <v>47105</v>
      </c>
    </row>
    <row r="910" spans="7:7" x14ac:dyDescent="0.35">
      <c r="G910" s="40">
        <f t="shared" si="15"/>
        <v>47106</v>
      </c>
    </row>
    <row r="911" spans="7:7" x14ac:dyDescent="0.35">
      <c r="G911" s="40">
        <f t="shared" si="15"/>
        <v>47107</v>
      </c>
    </row>
    <row r="912" spans="7:7" x14ac:dyDescent="0.35">
      <c r="G912" s="40">
        <f t="shared" si="15"/>
        <v>47108</v>
      </c>
    </row>
    <row r="913" spans="7:7" x14ac:dyDescent="0.35">
      <c r="G913" s="40">
        <f t="shared" si="15"/>
        <v>47109</v>
      </c>
    </row>
    <row r="914" spans="7:7" x14ac:dyDescent="0.35">
      <c r="G914" s="40">
        <f t="shared" si="15"/>
        <v>47110</v>
      </c>
    </row>
    <row r="915" spans="7:7" x14ac:dyDescent="0.35">
      <c r="G915" s="40">
        <f t="shared" si="15"/>
        <v>47111</v>
      </c>
    </row>
    <row r="916" spans="7:7" x14ac:dyDescent="0.35">
      <c r="G916" s="40">
        <f t="shared" si="15"/>
        <v>47112</v>
      </c>
    </row>
    <row r="917" spans="7:7" x14ac:dyDescent="0.35">
      <c r="G917" s="40">
        <f t="shared" si="15"/>
        <v>47113</v>
      </c>
    </row>
    <row r="918" spans="7:7" x14ac:dyDescent="0.35">
      <c r="G918" s="40">
        <f t="shared" si="15"/>
        <v>47114</v>
      </c>
    </row>
    <row r="919" spans="7:7" x14ac:dyDescent="0.35">
      <c r="G919" s="40">
        <f t="shared" si="15"/>
        <v>47115</v>
      </c>
    </row>
    <row r="920" spans="7:7" x14ac:dyDescent="0.35">
      <c r="G920" s="40">
        <f t="shared" si="15"/>
        <v>47116</v>
      </c>
    </row>
    <row r="921" spans="7:7" x14ac:dyDescent="0.35">
      <c r="G921" s="40">
        <f t="shared" si="15"/>
        <v>47117</v>
      </c>
    </row>
    <row r="922" spans="7:7" x14ac:dyDescent="0.35">
      <c r="G922" s="40">
        <f t="shared" si="15"/>
        <v>47118</v>
      </c>
    </row>
    <row r="923" spans="7:7" x14ac:dyDescent="0.35">
      <c r="G923" s="40">
        <f t="shared" si="15"/>
        <v>47119</v>
      </c>
    </row>
    <row r="924" spans="7:7" x14ac:dyDescent="0.35">
      <c r="G924" s="40">
        <f t="shared" si="15"/>
        <v>47120</v>
      </c>
    </row>
    <row r="925" spans="7:7" x14ac:dyDescent="0.35">
      <c r="G925" s="40">
        <f t="shared" si="15"/>
        <v>47121</v>
      </c>
    </row>
    <row r="926" spans="7:7" x14ac:dyDescent="0.35">
      <c r="G926" s="40">
        <f t="shared" si="15"/>
        <v>47122</v>
      </c>
    </row>
    <row r="927" spans="7:7" x14ac:dyDescent="0.35">
      <c r="G927" s="40">
        <f t="shared" si="15"/>
        <v>47123</v>
      </c>
    </row>
    <row r="928" spans="7:7" x14ac:dyDescent="0.35">
      <c r="G928" s="40">
        <f t="shared" si="15"/>
        <v>47124</v>
      </c>
    </row>
    <row r="929" spans="7:7" x14ac:dyDescent="0.35">
      <c r="G929" s="40">
        <f t="shared" si="15"/>
        <v>47125</v>
      </c>
    </row>
    <row r="930" spans="7:7" x14ac:dyDescent="0.35">
      <c r="G930" s="40">
        <f t="shared" si="15"/>
        <v>47126</v>
      </c>
    </row>
    <row r="931" spans="7:7" x14ac:dyDescent="0.35">
      <c r="G931" s="40">
        <f t="shared" si="15"/>
        <v>47127</v>
      </c>
    </row>
    <row r="932" spans="7:7" x14ac:dyDescent="0.35">
      <c r="G932" s="40">
        <f t="shared" si="15"/>
        <v>47128</v>
      </c>
    </row>
    <row r="933" spans="7:7" x14ac:dyDescent="0.35">
      <c r="G933" s="40">
        <f t="shared" si="15"/>
        <v>47129</v>
      </c>
    </row>
    <row r="934" spans="7:7" x14ac:dyDescent="0.35">
      <c r="G934" s="40">
        <f t="shared" si="15"/>
        <v>47130</v>
      </c>
    </row>
    <row r="935" spans="7:7" x14ac:dyDescent="0.35">
      <c r="G935" s="40">
        <f t="shared" si="15"/>
        <v>47131</v>
      </c>
    </row>
    <row r="936" spans="7:7" x14ac:dyDescent="0.35">
      <c r="G936" s="40">
        <f t="shared" si="15"/>
        <v>47132</v>
      </c>
    </row>
    <row r="937" spans="7:7" x14ac:dyDescent="0.35">
      <c r="G937" s="40">
        <f t="shared" si="15"/>
        <v>47133</v>
      </c>
    </row>
    <row r="938" spans="7:7" x14ac:dyDescent="0.35">
      <c r="G938" s="40">
        <f t="shared" si="15"/>
        <v>47134</v>
      </c>
    </row>
    <row r="939" spans="7:7" x14ac:dyDescent="0.35">
      <c r="G939" s="40">
        <f t="shared" si="15"/>
        <v>47135</v>
      </c>
    </row>
    <row r="940" spans="7:7" x14ac:dyDescent="0.35">
      <c r="G940" s="40">
        <f t="shared" si="15"/>
        <v>47136</v>
      </c>
    </row>
    <row r="941" spans="7:7" x14ac:dyDescent="0.35">
      <c r="G941" s="40">
        <f t="shared" si="15"/>
        <v>47137</v>
      </c>
    </row>
    <row r="942" spans="7:7" x14ac:dyDescent="0.35">
      <c r="G942" s="40">
        <f t="shared" si="15"/>
        <v>47138</v>
      </c>
    </row>
    <row r="943" spans="7:7" x14ac:dyDescent="0.35">
      <c r="G943" s="40">
        <f t="shared" si="15"/>
        <v>47139</v>
      </c>
    </row>
    <row r="944" spans="7:7" x14ac:dyDescent="0.35">
      <c r="G944" s="40">
        <f t="shared" si="15"/>
        <v>47140</v>
      </c>
    </row>
    <row r="945" spans="7:7" x14ac:dyDescent="0.35">
      <c r="G945" s="40">
        <f t="shared" si="15"/>
        <v>47141</v>
      </c>
    </row>
    <row r="946" spans="7:7" x14ac:dyDescent="0.35">
      <c r="G946" s="40">
        <f t="shared" si="15"/>
        <v>47142</v>
      </c>
    </row>
    <row r="947" spans="7:7" x14ac:dyDescent="0.35">
      <c r="G947" s="40">
        <f t="shared" si="15"/>
        <v>47143</v>
      </c>
    </row>
    <row r="948" spans="7:7" x14ac:dyDescent="0.35">
      <c r="G948" s="40">
        <f t="shared" si="15"/>
        <v>47144</v>
      </c>
    </row>
    <row r="949" spans="7:7" x14ac:dyDescent="0.35">
      <c r="G949" s="40">
        <f t="shared" si="15"/>
        <v>47145</v>
      </c>
    </row>
    <row r="950" spans="7:7" x14ac:dyDescent="0.35">
      <c r="G950" s="40">
        <f t="shared" si="15"/>
        <v>47146</v>
      </c>
    </row>
    <row r="951" spans="7:7" x14ac:dyDescent="0.35">
      <c r="G951" s="40">
        <f t="shared" si="15"/>
        <v>47147</v>
      </c>
    </row>
    <row r="952" spans="7:7" x14ac:dyDescent="0.35">
      <c r="G952" s="40">
        <f t="shared" si="15"/>
        <v>47148</v>
      </c>
    </row>
    <row r="953" spans="7:7" x14ac:dyDescent="0.35">
      <c r="G953" s="40">
        <f t="shared" si="15"/>
        <v>47149</v>
      </c>
    </row>
    <row r="954" spans="7:7" x14ac:dyDescent="0.35">
      <c r="G954" s="40">
        <f t="shared" si="15"/>
        <v>47150</v>
      </c>
    </row>
    <row r="955" spans="7:7" x14ac:dyDescent="0.35">
      <c r="G955" s="40">
        <f t="shared" si="15"/>
        <v>47151</v>
      </c>
    </row>
    <row r="956" spans="7:7" x14ac:dyDescent="0.35">
      <c r="G956" s="40">
        <f t="shared" si="15"/>
        <v>47152</v>
      </c>
    </row>
    <row r="957" spans="7:7" x14ac:dyDescent="0.35">
      <c r="G957" s="40">
        <f t="shared" si="15"/>
        <v>47153</v>
      </c>
    </row>
    <row r="958" spans="7:7" x14ac:dyDescent="0.35">
      <c r="G958" s="40">
        <f t="shared" si="15"/>
        <v>47154</v>
      </c>
    </row>
    <row r="959" spans="7:7" x14ac:dyDescent="0.35">
      <c r="G959" s="40">
        <f t="shared" si="15"/>
        <v>47155</v>
      </c>
    </row>
    <row r="960" spans="7:7" x14ac:dyDescent="0.35">
      <c r="G960" s="40">
        <f t="shared" si="15"/>
        <v>47156</v>
      </c>
    </row>
    <row r="961" spans="7:7" x14ac:dyDescent="0.35">
      <c r="G961" s="40">
        <f t="shared" si="15"/>
        <v>47157</v>
      </c>
    </row>
    <row r="962" spans="7:7" x14ac:dyDescent="0.35">
      <c r="G962" s="40">
        <f t="shared" si="15"/>
        <v>47158</v>
      </c>
    </row>
    <row r="963" spans="7:7" x14ac:dyDescent="0.35">
      <c r="G963" s="40">
        <f t="shared" si="15"/>
        <v>47159</v>
      </c>
    </row>
    <row r="964" spans="7:7" x14ac:dyDescent="0.35">
      <c r="G964" s="40">
        <f t="shared" si="15"/>
        <v>47160</v>
      </c>
    </row>
    <row r="965" spans="7:7" x14ac:dyDescent="0.35">
      <c r="G965" s="40">
        <f t="shared" ref="G965:G1028" si="16">G964+1</f>
        <v>47161</v>
      </c>
    </row>
    <row r="966" spans="7:7" x14ac:dyDescent="0.35">
      <c r="G966" s="40">
        <f t="shared" si="16"/>
        <v>47162</v>
      </c>
    </row>
    <row r="967" spans="7:7" x14ac:dyDescent="0.35">
      <c r="G967" s="40">
        <f t="shared" si="16"/>
        <v>47163</v>
      </c>
    </row>
    <row r="968" spans="7:7" x14ac:dyDescent="0.35">
      <c r="G968" s="40">
        <f t="shared" si="16"/>
        <v>47164</v>
      </c>
    </row>
    <row r="969" spans="7:7" x14ac:dyDescent="0.35">
      <c r="G969" s="40">
        <f t="shared" si="16"/>
        <v>47165</v>
      </c>
    </row>
    <row r="970" spans="7:7" x14ac:dyDescent="0.35">
      <c r="G970" s="40">
        <f t="shared" si="16"/>
        <v>47166</v>
      </c>
    </row>
    <row r="971" spans="7:7" x14ac:dyDescent="0.35">
      <c r="G971" s="40">
        <f t="shared" si="16"/>
        <v>47167</v>
      </c>
    </row>
    <row r="972" spans="7:7" x14ac:dyDescent="0.35">
      <c r="G972" s="40">
        <f t="shared" si="16"/>
        <v>47168</v>
      </c>
    </row>
    <row r="973" spans="7:7" x14ac:dyDescent="0.35">
      <c r="G973" s="40">
        <f t="shared" si="16"/>
        <v>47169</v>
      </c>
    </row>
    <row r="974" spans="7:7" x14ac:dyDescent="0.35">
      <c r="G974" s="40">
        <f t="shared" si="16"/>
        <v>47170</v>
      </c>
    </row>
    <row r="975" spans="7:7" x14ac:dyDescent="0.35">
      <c r="G975" s="40">
        <f t="shared" si="16"/>
        <v>47171</v>
      </c>
    </row>
    <row r="976" spans="7:7" x14ac:dyDescent="0.35">
      <c r="G976" s="40">
        <f t="shared" si="16"/>
        <v>47172</v>
      </c>
    </row>
    <row r="977" spans="7:7" x14ac:dyDescent="0.35">
      <c r="G977" s="40">
        <f t="shared" si="16"/>
        <v>47173</v>
      </c>
    </row>
    <row r="978" spans="7:7" x14ac:dyDescent="0.35">
      <c r="G978" s="40">
        <f t="shared" si="16"/>
        <v>47174</v>
      </c>
    </row>
    <row r="979" spans="7:7" x14ac:dyDescent="0.35">
      <c r="G979" s="40">
        <f t="shared" si="16"/>
        <v>47175</v>
      </c>
    </row>
    <row r="980" spans="7:7" x14ac:dyDescent="0.35">
      <c r="G980" s="40">
        <f t="shared" si="16"/>
        <v>47176</v>
      </c>
    </row>
    <row r="981" spans="7:7" x14ac:dyDescent="0.35">
      <c r="G981" s="40">
        <f t="shared" si="16"/>
        <v>47177</v>
      </c>
    </row>
    <row r="982" spans="7:7" x14ac:dyDescent="0.35">
      <c r="G982" s="40">
        <f t="shared" si="16"/>
        <v>47178</v>
      </c>
    </row>
    <row r="983" spans="7:7" x14ac:dyDescent="0.35">
      <c r="G983" s="40">
        <f t="shared" si="16"/>
        <v>47179</v>
      </c>
    </row>
    <row r="984" spans="7:7" x14ac:dyDescent="0.35">
      <c r="G984" s="40">
        <f t="shared" si="16"/>
        <v>47180</v>
      </c>
    </row>
    <row r="985" spans="7:7" x14ac:dyDescent="0.35">
      <c r="G985" s="40">
        <f t="shared" si="16"/>
        <v>47181</v>
      </c>
    </row>
    <row r="986" spans="7:7" x14ac:dyDescent="0.35">
      <c r="G986" s="40">
        <f t="shared" si="16"/>
        <v>47182</v>
      </c>
    </row>
    <row r="987" spans="7:7" x14ac:dyDescent="0.35">
      <c r="G987" s="40">
        <f t="shared" si="16"/>
        <v>47183</v>
      </c>
    </row>
    <row r="988" spans="7:7" x14ac:dyDescent="0.35">
      <c r="G988" s="40">
        <f t="shared" si="16"/>
        <v>47184</v>
      </c>
    </row>
    <row r="989" spans="7:7" x14ac:dyDescent="0.35">
      <c r="G989" s="40">
        <f t="shared" si="16"/>
        <v>47185</v>
      </c>
    </row>
    <row r="990" spans="7:7" x14ac:dyDescent="0.35">
      <c r="G990" s="40">
        <f t="shared" si="16"/>
        <v>47186</v>
      </c>
    </row>
    <row r="991" spans="7:7" x14ac:dyDescent="0.35">
      <c r="G991" s="40">
        <f t="shared" si="16"/>
        <v>47187</v>
      </c>
    </row>
    <row r="992" spans="7:7" x14ac:dyDescent="0.35">
      <c r="G992" s="40">
        <f t="shared" si="16"/>
        <v>47188</v>
      </c>
    </row>
    <row r="993" spans="7:7" x14ac:dyDescent="0.35">
      <c r="G993" s="40">
        <f t="shared" si="16"/>
        <v>47189</v>
      </c>
    </row>
    <row r="994" spans="7:7" x14ac:dyDescent="0.35">
      <c r="G994" s="40">
        <f t="shared" si="16"/>
        <v>47190</v>
      </c>
    </row>
    <row r="995" spans="7:7" x14ac:dyDescent="0.35">
      <c r="G995" s="40">
        <f t="shared" si="16"/>
        <v>47191</v>
      </c>
    </row>
    <row r="996" spans="7:7" x14ac:dyDescent="0.35">
      <c r="G996" s="40">
        <f t="shared" si="16"/>
        <v>47192</v>
      </c>
    </row>
    <row r="997" spans="7:7" x14ac:dyDescent="0.35">
      <c r="G997" s="40">
        <f t="shared" si="16"/>
        <v>47193</v>
      </c>
    </row>
    <row r="998" spans="7:7" x14ac:dyDescent="0.35">
      <c r="G998" s="40">
        <f t="shared" si="16"/>
        <v>47194</v>
      </c>
    </row>
    <row r="999" spans="7:7" x14ac:dyDescent="0.35">
      <c r="G999" s="40">
        <f t="shared" si="16"/>
        <v>47195</v>
      </c>
    </row>
    <row r="1000" spans="7:7" x14ac:dyDescent="0.35">
      <c r="G1000" s="40">
        <f t="shared" si="16"/>
        <v>47196</v>
      </c>
    </row>
    <row r="1001" spans="7:7" x14ac:dyDescent="0.35">
      <c r="G1001" s="40">
        <f t="shared" si="16"/>
        <v>47197</v>
      </c>
    </row>
    <row r="1002" spans="7:7" x14ac:dyDescent="0.35">
      <c r="G1002" s="40">
        <f t="shared" si="16"/>
        <v>47198</v>
      </c>
    </row>
    <row r="1003" spans="7:7" x14ac:dyDescent="0.35">
      <c r="G1003" s="40">
        <f t="shared" si="16"/>
        <v>47199</v>
      </c>
    </row>
    <row r="1004" spans="7:7" x14ac:dyDescent="0.35">
      <c r="G1004" s="40">
        <f t="shared" si="16"/>
        <v>47200</v>
      </c>
    </row>
    <row r="1005" spans="7:7" x14ac:dyDescent="0.35">
      <c r="G1005" s="40">
        <f t="shared" si="16"/>
        <v>47201</v>
      </c>
    </row>
    <row r="1006" spans="7:7" x14ac:dyDescent="0.35">
      <c r="G1006" s="40">
        <f t="shared" si="16"/>
        <v>47202</v>
      </c>
    </row>
    <row r="1007" spans="7:7" x14ac:dyDescent="0.35">
      <c r="G1007" s="40">
        <f t="shared" si="16"/>
        <v>47203</v>
      </c>
    </row>
    <row r="1008" spans="7:7" x14ac:dyDescent="0.35">
      <c r="G1008" s="40">
        <f t="shared" si="16"/>
        <v>47204</v>
      </c>
    </row>
    <row r="1009" spans="7:7" x14ac:dyDescent="0.35">
      <c r="G1009" s="40">
        <f t="shared" si="16"/>
        <v>47205</v>
      </c>
    </row>
    <row r="1010" spans="7:7" x14ac:dyDescent="0.35">
      <c r="G1010" s="40">
        <f t="shared" si="16"/>
        <v>47206</v>
      </c>
    </row>
    <row r="1011" spans="7:7" x14ac:dyDescent="0.35">
      <c r="G1011" s="40">
        <f t="shared" si="16"/>
        <v>47207</v>
      </c>
    </row>
    <row r="1012" spans="7:7" x14ac:dyDescent="0.35">
      <c r="G1012" s="40">
        <f t="shared" si="16"/>
        <v>47208</v>
      </c>
    </row>
    <row r="1013" spans="7:7" x14ac:dyDescent="0.35">
      <c r="G1013" s="40">
        <f t="shared" si="16"/>
        <v>47209</v>
      </c>
    </row>
    <row r="1014" spans="7:7" x14ac:dyDescent="0.35">
      <c r="G1014" s="40">
        <f t="shared" si="16"/>
        <v>47210</v>
      </c>
    </row>
    <row r="1015" spans="7:7" x14ac:dyDescent="0.35">
      <c r="G1015" s="40">
        <f t="shared" si="16"/>
        <v>47211</v>
      </c>
    </row>
    <row r="1016" spans="7:7" x14ac:dyDescent="0.35">
      <c r="G1016" s="40">
        <f t="shared" si="16"/>
        <v>47212</v>
      </c>
    </row>
    <row r="1017" spans="7:7" x14ac:dyDescent="0.35">
      <c r="G1017" s="40">
        <f t="shared" si="16"/>
        <v>47213</v>
      </c>
    </row>
    <row r="1018" spans="7:7" x14ac:dyDescent="0.35">
      <c r="G1018" s="40">
        <f t="shared" si="16"/>
        <v>47214</v>
      </c>
    </row>
    <row r="1019" spans="7:7" x14ac:dyDescent="0.35">
      <c r="G1019" s="40">
        <f t="shared" si="16"/>
        <v>47215</v>
      </c>
    </row>
    <row r="1020" spans="7:7" x14ac:dyDescent="0.35">
      <c r="G1020" s="40">
        <f t="shared" si="16"/>
        <v>47216</v>
      </c>
    </row>
    <row r="1021" spans="7:7" x14ac:dyDescent="0.35">
      <c r="G1021" s="40">
        <f t="shared" si="16"/>
        <v>47217</v>
      </c>
    </row>
    <row r="1022" spans="7:7" x14ac:dyDescent="0.35">
      <c r="G1022" s="40">
        <f t="shared" si="16"/>
        <v>47218</v>
      </c>
    </row>
    <row r="1023" spans="7:7" x14ac:dyDescent="0.35">
      <c r="G1023" s="40">
        <f t="shared" si="16"/>
        <v>47219</v>
      </c>
    </row>
    <row r="1024" spans="7:7" x14ac:dyDescent="0.35">
      <c r="G1024" s="40">
        <f t="shared" si="16"/>
        <v>47220</v>
      </c>
    </row>
    <row r="1025" spans="7:7" x14ac:dyDescent="0.35">
      <c r="G1025" s="40">
        <f t="shared" si="16"/>
        <v>47221</v>
      </c>
    </row>
    <row r="1026" spans="7:7" x14ac:dyDescent="0.35">
      <c r="G1026" s="40">
        <f t="shared" si="16"/>
        <v>47222</v>
      </c>
    </row>
    <row r="1027" spans="7:7" x14ac:dyDescent="0.35">
      <c r="G1027" s="40">
        <f t="shared" si="16"/>
        <v>47223</v>
      </c>
    </row>
    <row r="1028" spans="7:7" x14ac:dyDescent="0.35">
      <c r="G1028" s="40">
        <f t="shared" si="16"/>
        <v>47224</v>
      </c>
    </row>
    <row r="1029" spans="7:7" x14ac:dyDescent="0.35">
      <c r="G1029" s="40">
        <f t="shared" ref="G1029:G1092" si="17">G1028+1</f>
        <v>47225</v>
      </c>
    </row>
    <row r="1030" spans="7:7" x14ac:dyDescent="0.35">
      <c r="G1030" s="40">
        <f t="shared" si="17"/>
        <v>47226</v>
      </c>
    </row>
    <row r="1031" spans="7:7" x14ac:dyDescent="0.35">
      <c r="G1031" s="40">
        <f t="shared" si="17"/>
        <v>47227</v>
      </c>
    </row>
    <row r="1032" spans="7:7" x14ac:dyDescent="0.35">
      <c r="G1032" s="40">
        <f t="shared" si="17"/>
        <v>47228</v>
      </c>
    </row>
    <row r="1033" spans="7:7" x14ac:dyDescent="0.35">
      <c r="G1033" s="40">
        <f t="shared" si="17"/>
        <v>47229</v>
      </c>
    </row>
    <row r="1034" spans="7:7" x14ac:dyDescent="0.35">
      <c r="G1034" s="40">
        <f t="shared" si="17"/>
        <v>47230</v>
      </c>
    </row>
    <row r="1035" spans="7:7" x14ac:dyDescent="0.35">
      <c r="G1035" s="40">
        <f t="shared" si="17"/>
        <v>47231</v>
      </c>
    </row>
    <row r="1036" spans="7:7" x14ac:dyDescent="0.35">
      <c r="G1036" s="40">
        <f t="shared" si="17"/>
        <v>47232</v>
      </c>
    </row>
    <row r="1037" spans="7:7" x14ac:dyDescent="0.35">
      <c r="G1037" s="40">
        <f t="shared" si="17"/>
        <v>47233</v>
      </c>
    </row>
    <row r="1038" spans="7:7" x14ac:dyDescent="0.35">
      <c r="G1038" s="40">
        <f t="shared" si="17"/>
        <v>47234</v>
      </c>
    </row>
    <row r="1039" spans="7:7" x14ac:dyDescent="0.35">
      <c r="G1039" s="40">
        <f t="shared" si="17"/>
        <v>47235</v>
      </c>
    </row>
    <row r="1040" spans="7:7" x14ac:dyDescent="0.35">
      <c r="G1040" s="40">
        <f t="shared" si="17"/>
        <v>47236</v>
      </c>
    </row>
    <row r="1041" spans="7:7" x14ac:dyDescent="0.35">
      <c r="G1041" s="40">
        <f t="shared" si="17"/>
        <v>47237</v>
      </c>
    </row>
    <row r="1042" spans="7:7" x14ac:dyDescent="0.35">
      <c r="G1042" s="40">
        <f t="shared" si="17"/>
        <v>47238</v>
      </c>
    </row>
    <row r="1043" spans="7:7" x14ac:dyDescent="0.35">
      <c r="G1043" s="40">
        <f t="shared" si="17"/>
        <v>47239</v>
      </c>
    </row>
    <row r="1044" spans="7:7" x14ac:dyDescent="0.35">
      <c r="G1044" s="40">
        <f t="shared" si="17"/>
        <v>47240</v>
      </c>
    </row>
    <row r="1045" spans="7:7" x14ac:dyDescent="0.35">
      <c r="G1045" s="40">
        <f t="shared" si="17"/>
        <v>47241</v>
      </c>
    </row>
    <row r="1046" spans="7:7" x14ac:dyDescent="0.35">
      <c r="G1046" s="40">
        <f t="shared" si="17"/>
        <v>47242</v>
      </c>
    </row>
    <row r="1047" spans="7:7" x14ac:dyDescent="0.35">
      <c r="G1047" s="40">
        <f t="shared" si="17"/>
        <v>47243</v>
      </c>
    </row>
    <row r="1048" spans="7:7" x14ac:dyDescent="0.35">
      <c r="G1048" s="40">
        <f t="shared" si="17"/>
        <v>47244</v>
      </c>
    </row>
    <row r="1049" spans="7:7" x14ac:dyDescent="0.35">
      <c r="G1049" s="40">
        <f t="shared" si="17"/>
        <v>47245</v>
      </c>
    </row>
    <row r="1050" spans="7:7" x14ac:dyDescent="0.35">
      <c r="G1050" s="40">
        <f t="shared" si="17"/>
        <v>47246</v>
      </c>
    </row>
    <row r="1051" spans="7:7" x14ac:dyDescent="0.35">
      <c r="G1051" s="40">
        <f t="shared" si="17"/>
        <v>47247</v>
      </c>
    </row>
    <row r="1052" spans="7:7" x14ac:dyDescent="0.35">
      <c r="G1052" s="40">
        <f t="shared" si="17"/>
        <v>47248</v>
      </c>
    </row>
    <row r="1053" spans="7:7" x14ac:dyDescent="0.35">
      <c r="G1053" s="40">
        <f t="shared" si="17"/>
        <v>47249</v>
      </c>
    </row>
    <row r="1054" spans="7:7" x14ac:dyDescent="0.35">
      <c r="G1054" s="40">
        <f t="shared" si="17"/>
        <v>47250</v>
      </c>
    </row>
    <row r="1055" spans="7:7" x14ac:dyDescent="0.35">
      <c r="G1055" s="40">
        <f t="shared" si="17"/>
        <v>47251</v>
      </c>
    </row>
    <row r="1056" spans="7:7" x14ac:dyDescent="0.35">
      <c r="G1056" s="40">
        <f t="shared" si="17"/>
        <v>47252</v>
      </c>
    </row>
    <row r="1057" spans="7:7" x14ac:dyDescent="0.35">
      <c r="G1057" s="40">
        <f t="shared" si="17"/>
        <v>47253</v>
      </c>
    </row>
    <row r="1058" spans="7:7" x14ac:dyDescent="0.35">
      <c r="G1058" s="40">
        <f t="shared" si="17"/>
        <v>47254</v>
      </c>
    </row>
    <row r="1059" spans="7:7" x14ac:dyDescent="0.35">
      <c r="G1059" s="40">
        <f t="shared" si="17"/>
        <v>47255</v>
      </c>
    </row>
    <row r="1060" spans="7:7" x14ac:dyDescent="0.35">
      <c r="G1060" s="40">
        <f t="shared" si="17"/>
        <v>47256</v>
      </c>
    </row>
    <row r="1061" spans="7:7" x14ac:dyDescent="0.35">
      <c r="G1061" s="40">
        <f t="shared" si="17"/>
        <v>47257</v>
      </c>
    </row>
    <row r="1062" spans="7:7" x14ac:dyDescent="0.35">
      <c r="G1062" s="40">
        <f t="shared" si="17"/>
        <v>47258</v>
      </c>
    </row>
    <row r="1063" spans="7:7" x14ac:dyDescent="0.35">
      <c r="G1063" s="40">
        <f t="shared" si="17"/>
        <v>47259</v>
      </c>
    </row>
    <row r="1064" spans="7:7" x14ac:dyDescent="0.35">
      <c r="G1064" s="40">
        <f t="shared" si="17"/>
        <v>47260</v>
      </c>
    </row>
    <row r="1065" spans="7:7" x14ac:dyDescent="0.35">
      <c r="G1065" s="40">
        <f t="shared" si="17"/>
        <v>47261</v>
      </c>
    </row>
    <row r="1066" spans="7:7" x14ac:dyDescent="0.35">
      <c r="G1066" s="40">
        <f t="shared" si="17"/>
        <v>47262</v>
      </c>
    </row>
    <row r="1067" spans="7:7" x14ac:dyDescent="0.35">
      <c r="G1067" s="40">
        <f t="shared" si="17"/>
        <v>47263</v>
      </c>
    </row>
    <row r="1068" spans="7:7" x14ac:dyDescent="0.35">
      <c r="G1068" s="40">
        <f t="shared" si="17"/>
        <v>47264</v>
      </c>
    </row>
    <row r="1069" spans="7:7" x14ac:dyDescent="0.35">
      <c r="G1069" s="40">
        <f t="shared" si="17"/>
        <v>47265</v>
      </c>
    </row>
    <row r="1070" spans="7:7" x14ac:dyDescent="0.35">
      <c r="G1070" s="40">
        <f t="shared" si="17"/>
        <v>47266</v>
      </c>
    </row>
    <row r="1071" spans="7:7" x14ac:dyDescent="0.35">
      <c r="G1071" s="40">
        <f t="shared" si="17"/>
        <v>47267</v>
      </c>
    </row>
    <row r="1072" spans="7:7" x14ac:dyDescent="0.35">
      <c r="G1072" s="40">
        <f t="shared" si="17"/>
        <v>47268</v>
      </c>
    </row>
    <row r="1073" spans="7:7" x14ac:dyDescent="0.35">
      <c r="G1073" s="40">
        <f t="shared" si="17"/>
        <v>47269</v>
      </c>
    </row>
    <row r="1074" spans="7:7" x14ac:dyDescent="0.35">
      <c r="G1074" s="40">
        <f t="shared" si="17"/>
        <v>47270</v>
      </c>
    </row>
    <row r="1075" spans="7:7" x14ac:dyDescent="0.35">
      <c r="G1075" s="40">
        <f t="shared" si="17"/>
        <v>47271</v>
      </c>
    </row>
    <row r="1076" spans="7:7" x14ac:dyDescent="0.35">
      <c r="G1076" s="40">
        <f t="shared" si="17"/>
        <v>47272</v>
      </c>
    </row>
    <row r="1077" spans="7:7" x14ac:dyDescent="0.35">
      <c r="G1077" s="40">
        <f t="shared" si="17"/>
        <v>47273</v>
      </c>
    </row>
    <row r="1078" spans="7:7" x14ac:dyDescent="0.35">
      <c r="G1078" s="40">
        <f t="shared" si="17"/>
        <v>47274</v>
      </c>
    </row>
    <row r="1079" spans="7:7" x14ac:dyDescent="0.35">
      <c r="G1079" s="40">
        <f t="shared" si="17"/>
        <v>47275</v>
      </c>
    </row>
    <row r="1080" spans="7:7" x14ac:dyDescent="0.35">
      <c r="G1080" s="40">
        <f t="shared" si="17"/>
        <v>47276</v>
      </c>
    </row>
    <row r="1081" spans="7:7" x14ac:dyDescent="0.35">
      <c r="G1081" s="40">
        <f t="shared" si="17"/>
        <v>47277</v>
      </c>
    </row>
    <row r="1082" spans="7:7" x14ac:dyDescent="0.35">
      <c r="G1082" s="40">
        <f t="shared" si="17"/>
        <v>47278</v>
      </c>
    </row>
    <row r="1083" spans="7:7" x14ac:dyDescent="0.35">
      <c r="G1083" s="40">
        <f t="shared" si="17"/>
        <v>47279</v>
      </c>
    </row>
    <row r="1084" spans="7:7" x14ac:dyDescent="0.35">
      <c r="G1084" s="40">
        <f t="shared" si="17"/>
        <v>47280</v>
      </c>
    </row>
    <row r="1085" spans="7:7" x14ac:dyDescent="0.35">
      <c r="G1085" s="40">
        <f t="shared" si="17"/>
        <v>47281</v>
      </c>
    </row>
    <row r="1086" spans="7:7" x14ac:dyDescent="0.35">
      <c r="G1086" s="40">
        <f t="shared" si="17"/>
        <v>47282</v>
      </c>
    </row>
    <row r="1087" spans="7:7" x14ac:dyDescent="0.35">
      <c r="G1087" s="40">
        <f t="shared" si="17"/>
        <v>47283</v>
      </c>
    </row>
    <row r="1088" spans="7:7" x14ac:dyDescent="0.35">
      <c r="G1088" s="40">
        <f t="shared" si="17"/>
        <v>47284</v>
      </c>
    </row>
    <row r="1089" spans="7:7" x14ac:dyDescent="0.35">
      <c r="G1089" s="40">
        <f t="shared" si="17"/>
        <v>47285</v>
      </c>
    </row>
    <row r="1090" spans="7:7" x14ac:dyDescent="0.35">
      <c r="G1090" s="40">
        <f t="shared" si="17"/>
        <v>47286</v>
      </c>
    </row>
    <row r="1091" spans="7:7" x14ac:dyDescent="0.35">
      <c r="G1091" s="40">
        <f t="shared" si="17"/>
        <v>47287</v>
      </c>
    </row>
    <row r="1092" spans="7:7" x14ac:dyDescent="0.35">
      <c r="G1092" s="40">
        <f t="shared" si="17"/>
        <v>47288</v>
      </c>
    </row>
    <row r="1093" spans="7:7" x14ac:dyDescent="0.35">
      <c r="G1093" s="40">
        <f t="shared" ref="G1093:G1156" si="18">G1092+1</f>
        <v>47289</v>
      </c>
    </row>
    <row r="1094" spans="7:7" x14ac:dyDescent="0.35">
      <c r="G1094" s="40">
        <f t="shared" si="18"/>
        <v>47290</v>
      </c>
    </row>
    <row r="1095" spans="7:7" x14ac:dyDescent="0.35">
      <c r="G1095" s="40">
        <f t="shared" si="18"/>
        <v>47291</v>
      </c>
    </row>
    <row r="1096" spans="7:7" x14ac:dyDescent="0.35">
      <c r="G1096" s="40">
        <f t="shared" si="18"/>
        <v>47292</v>
      </c>
    </row>
    <row r="1097" spans="7:7" x14ac:dyDescent="0.35">
      <c r="G1097" s="40">
        <f t="shared" si="18"/>
        <v>47293</v>
      </c>
    </row>
    <row r="1098" spans="7:7" x14ac:dyDescent="0.35">
      <c r="G1098" s="40">
        <f t="shared" si="18"/>
        <v>47294</v>
      </c>
    </row>
    <row r="1099" spans="7:7" x14ac:dyDescent="0.35">
      <c r="G1099" s="40">
        <f t="shared" si="18"/>
        <v>47295</v>
      </c>
    </row>
    <row r="1100" spans="7:7" x14ac:dyDescent="0.35">
      <c r="G1100" s="40">
        <f t="shared" si="18"/>
        <v>47296</v>
      </c>
    </row>
    <row r="1101" spans="7:7" x14ac:dyDescent="0.35">
      <c r="G1101" s="40">
        <f t="shared" si="18"/>
        <v>47297</v>
      </c>
    </row>
    <row r="1102" spans="7:7" x14ac:dyDescent="0.35">
      <c r="G1102" s="40">
        <f t="shared" si="18"/>
        <v>47298</v>
      </c>
    </row>
    <row r="1103" spans="7:7" x14ac:dyDescent="0.35">
      <c r="G1103" s="40">
        <f t="shared" si="18"/>
        <v>47299</v>
      </c>
    </row>
    <row r="1104" spans="7:7" x14ac:dyDescent="0.35">
      <c r="G1104" s="40">
        <f t="shared" si="18"/>
        <v>47300</v>
      </c>
    </row>
    <row r="1105" spans="7:7" x14ac:dyDescent="0.35">
      <c r="G1105" s="40">
        <f t="shared" si="18"/>
        <v>47301</v>
      </c>
    </row>
    <row r="1106" spans="7:7" x14ac:dyDescent="0.35">
      <c r="G1106" s="40">
        <f t="shared" si="18"/>
        <v>47302</v>
      </c>
    </row>
    <row r="1107" spans="7:7" x14ac:dyDescent="0.35">
      <c r="G1107" s="40">
        <f t="shared" si="18"/>
        <v>47303</v>
      </c>
    </row>
    <row r="1108" spans="7:7" x14ac:dyDescent="0.35">
      <c r="G1108" s="40">
        <f t="shared" si="18"/>
        <v>47304</v>
      </c>
    </row>
    <row r="1109" spans="7:7" x14ac:dyDescent="0.35">
      <c r="G1109" s="40">
        <f t="shared" si="18"/>
        <v>47305</v>
      </c>
    </row>
    <row r="1110" spans="7:7" x14ac:dyDescent="0.35">
      <c r="G1110" s="40">
        <f t="shared" si="18"/>
        <v>47306</v>
      </c>
    </row>
    <row r="1111" spans="7:7" x14ac:dyDescent="0.35">
      <c r="G1111" s="40">
        <f t="shared" si="18"/>
        <v>47307</v>
      </c>
    </row>
    <row r="1112" spans="7:7" x14ac:dyDescent="0.35">
      <c r="G1112" s="40">
        <f t="shared" si="18"/>
        <v>47308</v>
      </c>
    </row>
    <row r="1113" spans="7:7" x14ac:dyDescent="0.35">
      <c r="G1113" s="40">
        <f t="shared" si="18"/>
        <v>47309</v>
      </c>
    </row>
    <row r="1114" spans="7:7" x14ac:dyDescent="0.35">
      <c r="G1114" s="40">
        <f t="shared" si="18"/>
        <v>47310</v>
      </c>
    </row>
    <row r="1115" spans="7:7" x14ac:dyDescent="0.35">
      <c r="G1115" s="40">
        <f t="shared" si="18"/>
        <v>47311</v>
      </c>
    </row>
    <row r="1116" spans="7:7" x14ac:dyDescent="0.35">
      <c r="G1116" s="40">
        <f t="shared" si="18"/>
        <v>47312</v>
      </c>
    </row>
    <row r="1117" spans="7:7" x14ac:dyDescent="0.35">
      <c r="G1117" s="40">
        <f t="shared" si="18"/>
        <v>47313</v>
      </c>
    </row>
    <row r="1118" spans="7:7" x14ac:dyDescent="0.35">
      <c r="G1118" s="40">
        <f t="shared" si="18"/>
        <v>47314</v>
      </c>
    </row>
    <row r="1119" spans="7:7" x14ac:dyDescent="0.35">
      <c r="G1119" s="40">
        <f t="shared" si="18"/>
        <v>47315</v>
      </c>
    </row>
    <row r="1120" spans="7:7" x14ac:dyDescent="0.35">
      <c r="G1120" s="40">
        <f t="shared" si="18"/>
        <v>47316</v>
      </c>
    </row>
    <row r="1121" spans="7:7" x14ac:dyDescent="0.35">
      <c r="G1121" s="40">
        <f t="shared" si="18"/>
        <v>47317</v>
      </c>
    </row>
    <row r="1122" spans="7:7" x14ac:dyDescent="0.35">
      <c r="G1122" s="40">
        <f t="shared" si="18"/>
        <v>47318</v>
      </c>
    </row>
    <row r="1123" spans="7:7" x14ac:dyDescent="0.35">
      <c r="G1123" s="40">
        <f t="shared" si="18"/>
        <v>47319</v>
      </c>
    </row>
    <row r="1124" spans="7:7" x14ac:dyDescent="0.35">
      <c r="G1124" s="40">
        <f t="shared" si="18"/>
        <v>47320</v>
      </c>
    </row>
    <row r="1125" spans="7:7" x14ac:dyDescent="0.35">
      <c r="G1125" s="40">
        <f t="shared" si="18"/>
        <v>47321</v>
      </c>
    </row>
    <row r="1126" spans="7:7" x14ac:dyDescent="0.35">
      <c r="G1126" s="40">
        <f t="shared" si="18"/>
        <v>47322</v>
      </c>
    </row>
    <row r="1127" spans="7:7" x14ac:dyDescent="0.35">
      <c r="G1127" s="40">
        <f t="shared" si="18"/>
        <v>47323</v>
      </c>
    </row>
    <row r="1128" spans="7:7" x14ac:dyDescent="0.35">
      <c r="G1128" s="40">
        <f t="shared" si="18"/>
        <v>47324</v>
      </c>
    </row>
    <row r="1129" spans="7:7" x14ac:dyDescent="0.35">
      <c r="G1129" s="40">
        <f t="shared" si="18"/>
        <v>47325</v>
      </c>
    </row>
    <row r="1130" spans="7:7" x14ac:dyDescent="0.35">
      <c r="G1130" s="40">
        <f t="shared" si="18"/>
        <v>47326</v>
      </c>
    </row>
    <row r="1131" spans="7:7" x14ac:dyDescent="0.35">
      <c r="G1131" s="40">
        <f t="shared" si="18"/>
        <v>47327</v>
      </c>
    </row>
    <row r="1132" spans="7:7" x14ac:dyDescent="0.35">
      <c r="G1132" s="40">
        <f t="shared" si="18"/>
        <v>47328</v>
      </c>
    </row>
    <row r="1133" spans="7:7" x14ac:dyDescent="0.35">
      <c r="G1133" s="40">
        <f t="shared" si="18"/>
        <v>47329</v>
      </c>
    </row>
    <row r="1134" spans="7:7" x14ac:dyDescent="0.35">
      <c r="G1134" s="40">
        <f t="shared" si="18"/>
        <v>47330</v>
      </c>
    </row>
    <row r="1135" spans="7:7" x14ac:dyDescent="0.35">
      <c r="G1135" s="40">
        <f t="shared" si="18"/>
        <v>47331</v>
      </c>
    </row>
    <row r="1136" spans="7:7" x14ac:dyDescent="0.35">
      <c r="G1136" s="40">
        <f t="shared" si="18"/>
        <v>47332</v>
      </c>
    </row>
    <row r="1137" spans="7:7" x14ac:dyDescent="0.35">
      <c r="G1137" s="40">
        <f t="shared" si="18"/>
        <v>47333</v>
      </c>
    </row>
    <row r="1138" spans="7:7" x14ac:dyDescent="0.35">
      <c r="G1138" s="40">
        <f t="shared" si="18"/>
        <v>47334</v>
      </c>
    </row>
    <row r="1139" spans="7:7" x14ac:dyDescent="0.35">
      <c r="G1139" s="40">
        <f t="shared" si="18"/>
        <v>47335</v>
      </c>
    </row>
    <row r="1140" spans="7:7" x14ac:dyDescent="0.35">
      <c r="G1140" s="40">
        <f t="shared" si="18"/>
        <v>47336</v>
      </c>
    </row>
    <row r="1141" spans="7:7" x14ac:dyDescent="0.35">
      <c r="G1141" s="40">
        <f t="shared" si="18"/>
        <v>47337</v>
      </c>
    </row>
    <row r="1142" spans="7:7" x14ac:dyDescent="0.35">
      <c r="G1142" s="40">
        <f t="shared" si="18"/>
        <v>47338</v>
      </c>
    </row>
    <row r="1143" spans="7:7" x14ac:dyDescent="0.35">
      <c r="G1143" s="40">
        <f t="shared" si="18"/>
        <v>47339</v>
      </c>
    </row>
    <row r="1144" spans="7:7" x14ac:dyDescent="0.35">
      <c r="G1144" s="40">
        <f t="shared" si="18"/>
        <v>47340</v>
      </c>
    </row>
    <row r="1145" spans="7:7" x14ac:dyDescent="0.35">
      <c r="G1145" s="40">
        <f t="shared" si="18"/>
        <v>47341</v>
      </c>
    </row>
    <row r="1146" spans="7:7" x14ac:dyDescent="0.35">
      <c r="G1146" s="40">
        <f t="shared" si="18"/>
        <v>47342</v>
      </c>
    </row>
    <row r="1147" spans="7:7" x14ac:dyDescent="0.35">
      <c r="G1147" s="40">
        <f t="shared" si="18"/>
        <v>47343</v>
      </c>
    </row>
    <row r="1148" spans="7:7" x14ac:dyDescent="0.35">
      <c r="G1148" s="40">
        <f t="shared" si="18"/>
        <v>47344</v>
      </c>
    </row>
    <row r="1149" spans="7:7" x14ac:dyDescent="0.35">
      <c r="G1149" s="40">
        <f t="shared" si="18"/>
        <v>47345</v>
      </c>
    </row>
    <row r="1150" spans="7:7" x14ac:dyDescent="0.35">
      <c r="G1150" s="40">
        <f t="shared" si="18"/>
        <v>47346</v>
      </c>
    </row>
    <row r="1151" spans="7:7" x14ac:dyDescent="0.35">
      <c r="G1151" s="40">
        <f t="shared" si="18"/>
        <v>47347</v>
      </c>
    </row>
    <row r="1152" spans="7:7" x14ac:dyDescent="0.35">
      <c r="G1152" s="40">
        <f t="shared" si="18"/>
        <v>47348</v>
      </c>
    </row>
    <row r="1153" spans="7:7" x14ac:dyDescent="0.35">
      <c r="G1153" s="40">
        <f t="shared" si="18"/>
        <v>47349</v>
      </c>
    </row>
    <row r="1154" spans="7:7" x14ac:dyDescent="0.35">
      <c r="G1154" s="40">
        <f t="shared" si="18"/>
        <v>47350</v>
      </c>
    </row>
    <row r="1155" spans="7:7" x14ac:dyDescent="0.35">
      <c r="G1155" s="40">
        <f t="shared" si="18"/>
        <v>47351</v>
      </c>
    </row>
    <row r="1156" spans="7:7" x14ac:dyDescent="0.35">
      <c r="G1156" s="40">
        <f t="shared" si="18"/>
        <v>47352</v>
      </c>
    </row>
    <row r="1157" spans="7:7" x14ac:dyDescent="0.35">
      <c r="G1157" s="40">
        <f t="shared" ref="G1157:G1220" si="19">G1156+1</f>
        <v>47353</v>
      </c>
    </row>
    <row r="1158" spans="7:7" x14ac:dyDescent="0.35">
      <c r="G1158" s="40">
        <f t="shared" si="19"/>
        <v>47354</v>
      </c>
    </row>
    <row r="1159" spans="7:7" x14ac:dyDescent="0.35">
      <c r="G1159" s="40">
        <f t="shared" si="19"/>
        <v>47355</v>
      </c>
    </row>
    <row r="1160" spans="7:7" x14ac:dyDescent="0.35">
      <c r="G1160" s="40">
        <f t="shared" si="19"/>
        <v>47356</v>
      </c>
    </row>
    <row r="1161" spans="7:7" x14ac:dyDescent="0.35">
      <c r="G1161" s="40">
        <f t="shared" si="19"/>
        <v>47357</v>
      </c>
    </row>
    <row r="1162" spans="7:7" x14ac:dyDescent="0.35">
      <c r="G1162" s="40">
        <f t="shared" si="19"/>
        <v>47358</v>
      </c>
    </row>
    <row r="1163" spans="7:7" x14ac:dyDescent="0.35">
      <c r="G1163" s="40">
        <f t="shared" si="19"/>
        <v>47359</v>
      </c>
    </row>
    <row r="1164" spans="7:7" x14ac:dyDescent="0.35">
      <c r="G1164" s="40">
        <f t="shared" si="19"/>
        <v>47360</v>
      </c>
    </row>
    <row r="1165" spans="7:7" x14ac:dyDescent="0.35">
      <c r="G1165" s="40">
        <f t="shared" si="19"/>
        <v>47361</v>
      </c>
    </row>
    <row r="1166" spans="7:7" x14ac:dyDescent="0.35">
      <c r="G1166" s="40">
        <f t="shared" si="19"/>
        <v>47362</v>
      </c>
    </row>
    <row r="1167" spans="7:7" x14ac:dyDescent="0.35">
      <c r="G1167" s="40">
        <f t="shared" si="19"/>
        <v>47363</v>
      </c>
    </row>
    <row r="1168" spans="7:7" x14ac:dyDescent="0.35">
      <c r="G1168" s="40">
        <f t="shared" si="19"/>
        <v>47364</v>
      </c>
    </row>
    <row r="1169" spans="7:7" x14ac:dyDescent="0.35">
      <c r="G1169" s="40">
        <f t="shared" si="19"/>
        <v>47365</v>
      </c>
    </row>
    <row r="1170" spans="7:7" x14ac:dyDescent="0.35">
      <c r="G1170" s="40">
        <f t="shared" si="19"/>
        <v>47366</v>
      </c>
    </row>
    <row r="1171" spans="7:7" x14ac:dyDescent="0.35">
      <c r="G1171" s="40">
        <f t="shared" si="19"/>
        <v>47367</v>
      </c>
    </row>
    <row r="1172" spans="7:7" x14ac:dyDescent="0.35">
      <c r="G1172" s="40">
        <f t="shared" si="19"/>
        <v>47368</v>
      </c>
    </row>
    <row r="1173" spans="7:7" x14ac:dyDescent="0.35">
      <c r="G1173" s="40">
        <f t="shared" si="19"/>
        <v>47369</v>
      </c>
    </row>
    <row r="1174" spans="7:7" x14ac:dyDescent="0.35">
      <c r="G1174" s="40">
        <f t="shared" si="19"/>
        <v>47370</v>
      </c>
    </row>
    <row r="1175" spans="7:7" x14ac:dyDescent="0.35">
      <c r="G1175" s="40">
        <f t="shared" si="19"/>
        <v>47371</v>
      </c>
    </row>
    <row r="1176" spans="7:7" x14ac:dyDescent="0.35">
      <c r="G1176" s="40">
        <f t="shared" si="19"/>
        <v>47372</v>
      </c>
    </row>
    <row r="1177" spans="7:7" x14ac:dyDescent="0.35">
      <c r="G1177" s="40">
        <f t="shared" si="19"/>
        <v>47373</v>
      </c>
    </row>
    <row r="1178" spans="7:7" x14ac:dyDescent="0.35">
      <c r="G1178" s="40">
        <f t="shared" si="19"/>
        <v>47374</v>
      </c>
    </row>
    <row r="1179" spans="7:7" x14ac:dyDescent="0.35">
      <c r="G1179" s="40">
        <f t="shared" si="19"/>
        <v>47375</v>
      </c>
    </row>
    <row r="1180" spans="7:7" x14ac:dyDescent="0.35">
      <c r="G1180" s="40">
        <f t="shared" si="19"/>
        <v>47376</v>
      </c>
    </row>
    <row r="1181" spans="7:7" x14ac:dyDescent="0.35">
      <c r="G1181" s="40">
        <f t="shared" si="19"/>
        <v>47377</v>
      </c>
    </row>
    <row r="1182" spans="7:7" x14ac:dyDescent="0.35">
      <c r="G1182" s="40">
        <f t="shared" si="19"/>
        <v>47378</v>
      </c>
    </row>
    <row r="1183" spans="7:7" x14ac:dyDescent="0.35">
      <c r="G1183" s="40">
        <f t="shared" si="19"/>
        <v>47379</v>
      </c>
    </row>
    <row r="1184" spans="7:7" x14ac:dyDescent="0.35">
      <c r="G1184" s="40">
        <f t="shared" si="19"/>
        <v>47380</v>
      </c>
    </row>
    <row r="1185" spans="7:7" x14ac:dyDescent="0.35">
      <c r="G1185" s="40">
        <f t="shared" si="19"/>
        <v>47381</v>
      </c>
    </row>
    <row r="1186" spans="7:7" x14ac:dyDescent="0.35">
      <c r="G1186" s="40">
        <f t="shared" si="19"/>
        <v>47382</v>
      </c>
    </row>
    <row r="1187" spans="7:7" x14ac:dyDescent="0.35">
      <c r="G1187" s="40">
        <f t="shared" si="19"/>
        <v>47383</v>
      </c>
    </row>
    <row r="1188" spans="7:7" x14ac:dyDescent="0.35">
      <c r="G1188" s="40">
        <f t="shared" si="19"/>
        <v>47384</v>
      </c>
    </row>
    <row r="1189" spans="7:7" x14ac:dyDescent="0.35">
      <c r="G1189" s="40">
        <f t="shared" si="19"/>
        <v>47385</v>
      </c>
    </row>
    <row r="1190" spans="7:7" x14ac:dyDescent="0.35">
      <c r="G1190" s="40">
        <f t="shared" si="19"/>
        <v>47386</v>
      </c>
    </row>
    <row r="1191" spans="7:7" x14ac:dyDescent="0.35">
      <c r="G1191" s="40">
        <f t="shared" si="19"/>
        <v>47387</v>
      </c>
    </row>
    <row r="1192" spans="7:7" x14ac:dyDescent="0.35">
      <c r="G1192" s="40">
        <f t="shared" si="19"/>
        <v>47388</v>
      </c>
    </row>
    <row r="1193" spans="7:7" x14ac:dyDescent="0.35">
      <c r="G1193" s="40">
        <f t="shared" si="19"/>
        <v>47389</v>
      </c>
    </row>
    <row r="1194" spans="7:7" x14ac:dyDescent="0.35">
      <c r="G1194" s="40">
        <f t="shared" si="19"/>
        <v>47390</v>
      </c>
    </row>
    <row r="1195" spans="7:7" x14ac:dyDescent="0.35">
      <c r="G1195" s="40">
        <f t="shared" si="19"/>
        <v>47391</v>
      </c>
    </row>
    <row r="1196" spans="7:7" x14ac:dyDescent="0.35">
      <c r="G1196" s="40">
        <f t="shared" si="19"/>
        <v>47392</v>
      </c>
    </row>
    <row r="1197" spans="7:7" x14ac:dyDescent="0.35">
      <c r="G1197" s="40">
        <f t="shared" si="19"/>
        <v>47393</v>
      </c>
    </row>
    <row r="1198" spans="7:7" x14ac:dyDescent="0.35">
      <c r="G1198" s="40">
        <f t="shared" si="19"/>
        <v>47394</v>
      </c>
    </row>
    <row r="1199" spans="7:7" x14ac:dyDescent="0.35">
      <c r="G1199" s="40">
        <f t="shared" si="19"/>
        <v>47395</v>
      </c>
    </row>
    <row r="1200" spans="7:7" x14ac:dyDescent="0.35">
      <c r="G1200" s="40">
        <f t="shared" si="19"/>
        <v>47396</v>
      </c>
    </row>
    <row r="1201" spans="7:7" x14ac:dyDescent="0.35">
      <c r="G1201" s="40">
        <f t="shared" si="19"/>
        <v>47397</v>
      </c>
    </row>
    <row r="1202" spans="7:7" x14ac:dyDescent="0.35">
      <c r="G1202" s="40">
        <f t="shared" si="19"/>
        <v>47398</v>
      </c>
    </row>
    <row r="1203" spans="7:7" x14ac:dyDescent="0.35">
      <c r="G1203" s="40">
        <f t="shared" si="19"/>
        <v>47399</v>
      </c>
    </row>
    <row r="1204" spans="7:7" x14ac:dyDescent="0.35">
      <c r="G1204" s="40">
        <f t="shared" si="19"/>
        <v>47400</v>
      </c>
    </row>
    <row r="1205" spans="7:7" x14ac:dyDescent="0.35">
      <c r="G1205" s="40">
        <f t="shared" si="19"/>
        <v>47401</v>
      </c>
    </row>
    <row r="1206" spans="7:7" x14ac:dyDescent="0.35">
      <c r="G1206" s="40">
        <f t="shared" si="19"/>
        <v>47402</v>
      </c>
    </row>
    <row r="1207" spans="7:7" x14ac:dyDescent="0.35">
      <c r="G1207" s="40">
        <f t="shared" si="19"/>
        <v>47403</v>
      </c>
    </row>
    <row r="1208" spans="7:7" x14ac:dyDescent="0.35">
      <c r="G1208" s="40">
        <f t="shared" si="19"/>
        <v>47404</v>
      </c>
    </row>
    <row r="1209" spans="7:7" x14ac:dyDescent="0.35">
      <c r="G1209" s="40">
        <f t="shared" si="19"/>
        <v>47405</v>
      </c>
    </row>
    <row r="1210" spans="7:7" x14ac:dyDescent="0.35">
      <c r="G1210" s="40">
        <f t="shared" si="19"/>
        <v>47406</v>
      </c>
    </row>
    <row r="1211" spans="7:7" x14ac:dyDescent="0.35">
      <c r="G1211" s="40">
        <f t="shared" si="19"/>
        <v>47407</v>
      </c>
    </row>
    <row r="1212" spans="7:7" x14ac:dyDescent="0.35">
      <c r="G1212" s="40">
        <f t="shared" si="19"/>
        <v>47408</v>
      </c>
    </row>
    <row r="1213" spans="7:7" x14ac:dyDescent="0.35">
      <c r="G1213" s="40">
        <f t="shared" si="19"/>
        <v>47409</v>
      </c>
    </row>
    <row r="1214" spans="7:7" x14ac:dyDescent="0.35">
      <c r="G1214" s="40">
        <f t="shared" si="19"/>
        <v>47410</v>
      </c>
    </row>
    <row r="1215" spans="7:7" x14ac:dyDescent="0.35">
      <c r="G1215" s="40">
        <f t="shared" si="19"/>
        <v>47411</v>
      </c>
    </row>
    <row r="1216" spans="7:7" x14ac:dyDescent="0.35">
      <c r="G1216" s="40">
        <f t="shared" si="19"/>
        <v>47412</v>
      </c>
    </row>
    <row r="1217" spans="7:7" x14ac:dyDescent="0.35">
      <c r="G1217" s="40">
        <f t="shared" si="19"/>
        <v>47413</v>
      </c>
    </row>
    <row r="1218" spans="7:7" x14ac:dyDescent="0.35">
      <c r="G1218" s="40">
        <f t="shared" si="19"/>
        <v>47414</v>
      </c>
    </row>
    <row r="1219" spans="7:7" x14ac:dyDescent="0.35">
      <c r="G1219" s="40">
        <f t="shared" si="19"/>
        <v>47415</v>
      </c>
    </row>
    <row r="1220" spans="7:7" x14ac:dyDescent="0.35">
      <c r="G1220" s="40">
        <f t="shared" si="19"/>
        <v>47416</v>
      </c>
    </row>
    <row r="1221" spans="7:7" x14ac:dyDescent="0.35">
      <c r="G1221" s="40">
        <f t="shared" ref="G1221:G1284" si="20">G1220+1</f>
        <v>47417</v>
      </c>
    </row>
    <row r="1222" spans="7:7" x14ac:dyDescent="0.35">
      <c r="G1222" s="40">
        <f t="shared" si="20"/>
        <v>47418</v>
      </c>
    </row>
    <row r="1223" spans="7:7" x14ac:dyDescent="0.35">
      <c r="G1223" s="40">
        <f t="shared" si="20"/>
        <v>47419</v>
      </c>
    </row>
    <row r="1224" spans="7:7" x14ac:dyDescent="0.35">
      <c r="G1224" s="40">
        <f t="shared" si="20"/>
        <v>47420</v>
      </c>
    </row>
    <row r="1225" spans="7:7" x14ac:dyDescent="0.35">
      <c r="G1225" s="40">
        <f t="shared" si="20"/>
        <v>47421</v>
      </c>
    </row>
    <row r="1226" spans="7:7" x14ac:dyDescent="0.35">
      <c r="G1226" s="40">
        <f t="shared" si="20"/>
        <v>47422</v>
      </c>
    </row>
    <row r="1227" spans="7:7" x14ac:dyDescent="0.35">
      <c r="G1227" s="40">
        <f t="shared" si="20"/>
        <v>47423</v>
      </c>
    </row>
    <row r="1228" spans="7:7" x14ac:dyDescent="0.35">
      <c r="G1228" s="40">
        <f t="shared" si="20"/>
        <v>47424</v>
      </c>
    </row>
    <row r="1229" spans="7:7" x14ac:dyDescent="0.35">
      <c r="G1229" s="40">
        <f t="shared" si="20"/>
        <v>47425</v>
      </c>
    </row>
    <row r="1230" spans="7:7" x14ac:dyDescent="0.35">
      <c r="G1230" s="40">
        <f t="shared" si="20"/>
        <v>47426</v>
      </c>
    </row>
    <row r="1231" spans="7:7" x14ac:dyDescent="0.35">
      <c r="G1231" s="40">
        <f t="shared" si="20"/>
        <v>47427</v>
      </c>
    </row>
    <row r="1232" spans="7:7" x14ac:dyDescent="0.35">
      <c r="G1232" s="40">
        <f t="shared" si="20"/>
        <v>47428</v>
      </c>
    </row>
    <row r="1233" spans="7:7" x14ac:dyDescent="0.35">
      <c r="G1233" s="40">
        <f t="shared" si="20"/>
        <v>47429</v>
      </c>
    </row>
    <row r="1234" spans="7:7" x14ac:dyDescent="0.35">
      <c r="G1234" s="40">
        <f t="shared" si="20"/>
        <v>47430</v>
      </c>
    </row>
    <row r="1235" spans="7:7" x14ac:dyDescent="0.35">
      <c r="G1235" s="40">
        <f t="shared" si="20"/>
        <v>47431</v>
      </c>
    </row>
    <row r="1236" spans="7:7" x14ac:dyDescent="0.35">
      <c r="G1236" s="40">
        <f t="shared" si="20"/>
        <v>47432</v>
      </c>
    </row>
    <row r="1237" spans="7:7" x14ac:dyDescent="0.35">
      <c r="G1237" s="40">
        <f t="shared" si="20"/>
        <v>47433</v>
      </c>
    </row>
    <row r="1238" spans="7:7" x14ac:dyDescent="0.35">
      <c r="G1238" s="40">
        <f t="shared" si="20"/>
        <v>47434</v>
      </c>
    </row>
    <row r="1239" spans="7:7" x14ac:dyDescent="0.35">
      <c r="G1239" s="40">
        <f t="shared" si="20"/>
        <v>47435</v>
      </c>
    </row>
    <row r="1240" spans="7:7" x14ac:dyDescent="0.35">
      <c r="G1240" s="40">
        <f t="shared" si="20"/>
        <v>47436</v>
      </c>
    </row>
    <row r="1241" spans="7:7" x14ac:dyDescent="0.35">
      <c r="G1241" s="40">
        <f t="shared" si="20"/>
        <v>47437</v>
      </c>
    </row>
    <row r="1242" spans="7:7" x14ac:dyDescent="0.35">
      <c r="G1242" s="40">
        <f t="shared" si="20"/>
        <v>47438</v>
      </c>
    </row>
    <row r="1243" spans="7:7" x14ac:dyDescent="0.35">
      <c r="G1243" s="40">
        <f t="shared" si="20"/>
        <v>47439</v>
      </c>
    </row>
    <row r="1244" spans="7:7" x14ac:dyDescent="0.35">
      <c r="G1244" s="40">
        <f t="shared" si="20"/>
        <v>47440</v>
      </c>
    </row>
    <row r="1245" spans="7:7" x14ac:dyDescent="0.35">
      <c r="G1245" s="40">
        <f t="shared" si="20"/>
        <v>47441</v>
      </c>
    </row>
    <row r="1246" spans="7:7" x14ac:dyDescent="0.35">
      <c r="G1246" s="40">
        <f t="shared" si="20"/>
        <v>47442</v>
      </c>
    </row>
    <row r="1247" spans="7:7" x14ac:dyDescent="0.35">
      <c r="G1247" s="40">
        <f t="shared" si="20"/>
        <v>47443</v>
      </c>
    </row>
    <row r="1248" spans="7:7" x14ac:dyDescent="0.35">
      <c r="G1248" s="40">
        <f t="shared" si="20"/>
        <v>47444</v>
      </c>
    </row>
    <row r="1249" spans="7:7" x14ac:dyDescent="0.35">
      <c r="G1249" s="40">
        <f t="shared" si="20"/>
        <v>47445</v>
      </c>
    </row>
    <row r="1250" spans="7:7" x14ac:dyDescent="0.35">
      <c r="G1250" s="40">
        <f t="shared" si="20"/>
        <v>47446</v>
      </c>
    </row>
    <row r="1251" spans="7:7" x14ac:dyDescent="0.35">
      <c r="G1251" s="40">
        <f t="shared" si="20"/>
        <v>47447</v>
      </c>
    </row>
    <row r="1252" spans="7:7" x14ac:dyDescent="0.35">
      <c r="G1252" s="40">
        <f t="shared" si="20"/>
        <v>47448</v>
      </c>
    </row>
    <row r="1253" spans="7:7" x14ac:dyDescent="0.35">
      <c r="G1253" s="40">
        <f t="shared" si="20"/>
        <v>47449</v>
      </c>
    </row>
    <row r="1254" spans="7:7" x14ac:dyDescent="0.35">
      <c r="G1254" s="40">
        <f t="shared" si="20"/>
        <v>47450</v>
      </c>
    </row>
    <row r="1255" spans="7:7" x14ac:dyDescent="0.35">
      <c r="G1255" s="40">
        <f t="shared" si="20"/>
        <v>47451</v>
      </c>
    </row>
    <row r="1256" spans="7:7" x14ac:dyDescent="0.35">
      <c r="G1256" s="40">
        <f t="shared" si="20"/>
        <v>47452</v>
      </c>
    </row>
    <row r="1257" spans="7:7" x14ac:dyDescent="0.35">
      <c r="G1257" s="40">
        <f t="shared" si="20"/>
        <v>47453</v>
      </c>
    </row>
    <row r="1258" spans="7:7" x14ac:dyDescent="0.35">
      <c r="G1258" s="40">
        <f t="shared" si="20"/>
        <v>47454</v>
      </c>
    </row>
    <row r="1259" spans="7:7" x14ac:dyDescent="0.35">
      <c r="G1259" s="40">
        <f t="shared" si="20"/>
        <v>47455</v>
      </c>
    </row>
    <row r="1260" spans="7:7" x14ac:dyDescent="0.35">
      <c r="G1260" s="40">
        <f t="shared" si="20"/>
        <v>47456</v>
      </c>
    </row>
    <row r="1261" spans="7:7" x14ac:dyDescent="0.35">
      <c r="G1261" s="40">
        <f t="shared" si="20"/>
        <v>47457</v>
      </c>
    </row>
    <row r="1262" spans="7:7" x14ac:dyDescent="0.35">
      <c r="G1262" s="40">
        <f t="shared" si="20"/>
        <v>47458</v>
      </c>
    </row>
    <row r="1263" spans="7:7" x14ac:dyDescent="0.35">
      <c r="G1263" s="40">
        <f t="shared" si="20"/>
        <v>47459</v>
      </c>
    </row>
    <row r="1264" spans="7:7" x14ac:dyDescent="0.35">
      <c r="G1264" s="40">
        <f t="shared" si="20"/>
        <v>47460</v>
      </c>
    </row>
    <row r="1265" spans="7:7" x14ac:dyDescent="0.35">
      <c r="G1265" s="40">
        <f t="shared" si="20"/>
        <v>47461</v>
      </c>
    </row>
    <row r="1266" spans="7:7" x14ac:dyDescent="0.35">
      <c r="G1266" s="40">
        <f t="shared" si="20"/>
        <v>47462</v>
      </c>
    </row>
    <row r="1267" spans="7:7" x14ac:dyDescent="0.35">
      <c r="G1267" s="40">
        <f t="shared" si="20"/>
        <v>47463</v>
      </c>
    </row>
    <row r="1268" spans="7:7" x14ac:dyDescent="0.35">
      <c r="G1268" s="40">
        <f t="shared" si="20"/>
        <v>47464</v>
      </c>
    </row>
    <row r="1269" spans="7:7" x14ac:dyDescent="0.35">
      <c r="G1269" s="40">
        <f t="shared" si="20"/>
        <v>47465</v>
      </c>
    </row>
    <row r="1270" spans="7:7" x14ac:dyDescent="0.35">
      <c r="G1270" s="40">
        <f t="shared" si="20"/>
        <v>47466</v>
      </c>
    </row>
    <row r="1271" spans="7:7" x14ac:dyDescent="0.35">
      <c r="G1271" s="40">
        <f t="shared" si="20"/>
        <v>47467</v>
      </c>
    </row>
    <row r="1272" spans="7:7" x14ac:dyDescent="0.35">
      <c r="G1272" s="40">
        <f t="shared" si="20"/>
        <v>47468</v>
      </c>
    </row>
    <row r="1273" spans="7:7" x14ac:dyDescent="0.35">
      <c r="G1273" s="40">
        <f t="shared" si="20"/>
        <v>47469</v>
      </c>
    </row>
    <row r="1274" spans="7:7" x14ac:dyDescent="0.35">
      <c r="G1274" s="40">
        <f t="shared" si="20"/>
        <v>47470</v>
      </c>
    </row>
    <row r="1275" spans="7:7" x14ac:dyDescent="0.35">
      <c r="G1275" s="40">
        <f t="shared" si="20"/>
        <v>47471</v>
      </c>
    </row>
    <row r="1276" spans="7:7" x14ac:dyDescent="0.35">
      <c r="G1276" s="40">
        <f t="shared" si="20"/>
        <v>47472</v>
      </c>
    </row>
    <row r="1277" spans="7:7" x14ac:dyDescent="0.35">
      <c r="G1277" s="40">
        <f t="shared" si="20"/>
        <v>47473</v>
      </c>
    </row>
    <row r="1278" spans="7:7" x14ac:dyDescent="0.35">
      <c r="G1278" s="40">
        <f t="shared" si="20"/>
        <v>47474</v>
      </c>
    </row>
    <row r="1279" spans="7:7" x14ac:dyDescent="0.35">
      <c r="G1279" s="40">
        <f t="shared" si="20"/>
        <v>47475</v>
      </c>
    </row>
    <row r="1280" spans="7:7" x14ac:dyDescent="0.35">
      <c r="G1280" s="40">
        <f t="shared" si="20"/>
        <v>47476</v>
      </c>
    </row>
    <row r="1281" spans="7:7" x14ac:dyDescent="0.35">
      <c r="G1281" s="40">
        <f t="shared" si="20"/>
        <v>47477</v>
      </c>
    </row>
    <row r="1282" spans="7:7" x14ac:dyDescent="0.35">
      <c r="G1282" s="40">
        <f t="shared" si="20"/>
        <v>47478</v>
      </c>
    </row>
    <row r="1283" spans="7:7" x14ac:dyDescent="0.35">
      <c r="G1283" s="40">
        <f t="shared" si="20"/>
        <v>47479</v>
      </c>
    </row>
    <row r="1284" spans="7:7" x14ac:dyDescent="0.35">
      <c r="G1284" s="40">
        <f t="shared" si="20"/>
        <v>47480</v>
      </c>
    </row>
    <row r="1285" spans="7:7" x14ac:dyDescent="0.35">
      <c r="G1285" s="40">
        <f t="shared" ref="G1285:G1348" si="21">G1284+1</f>
        <v>47481</v>
      </c>
    </row>
    <row r="1286" spans="7:7" x14ac:dyDescent="0.35">
      <c r="G1286" s="40">
        <f t="shared" si="21"/>
        <v>47482</v>
      </c>
    </row>
    <row r="1287" spans="7:7" x14ac:dyDescent="0.35">
      <c r="G1287" s="40">
        <f t="shared" si="21"/>
        <v>47483</v>
      </c>
    </row>
    <row r="1288" spans="7:7" x14ac:dyDescent="0.35">
      <c r="G1288" s="40">
        <f t="shared" si="21"/>
        <v>47484</v>
      </c>
    </row>
    <row r="1289" spans="7:7" x14ac:dyDescent="0.35">
      <c r="G1289" s="40">
        <f t="shared" si="21"/>
        <v>47485</v>
      </c>
    </row>
    <row r="1290" spans="7:7" x14ac:dyDescent="0.35">
      <c r="G1290" s="40">
        <f t="shared" si="21"/>
        <v>47486</v>
      </c>
    </row>
    <row r="1291" spans="7:7" x14ac:dyDescent="0.35">
      <c r="G1291" s="40">
        <f t="shared" si="21"/>
        <v>47487</v>
      </c>
    </row>
    <row r="1292" spans="7:7" x14ac:dyDescent="0.35">
      <c r="G1292" s="40">
        <f t="shared" si="21"/>
        <v>47488</v>
      </c>
    </row>
    <row r="1293" spans="7:7" x14ac:dyDescent="0.35">
      <c r="G1293" s="40">
        <f t="shared" si="21"/>
        <v>47489</v>
      </c>
    </row>
    <row r="1294" spans="7:7" x14ac:dyDescent="0.35">
      <c r="G1294" s="40">
        <f t="shared" si="21"/>
        <v>47490</v>
      </c>
    </row>
    <row r="1295" spans="7:7" x14ac:dyDescent="0.35">
      <c r="G1295" s="40">
        <f t="shared" si="21"/>
        <v>47491</v>
      </c>
    </row>
    <row r="1296" spans="7:7" x14ac:dyDescent="0.35">
      <c r="G1296" s="40">
        <f t="shared" si="21"/>
        <v>47492</v>
      </c>
    </row>
    <row r="1297" spans="7:7" x14ac:dyDescent="0.35">
      <c r="G1297" s="40">
        <f t="shared" si="21"/>
        <v>47493</v>
      </c>
    </row>
    <row r="1298" spans="7:7" x14ac:dyDescent="0.35">
      <c r="G1298" s="40">
        <f t="shared" si="21"/>
        <v>47494</v>
      </c>
    </row>
    <row r="1299" spans="7:7" x14ac:dyDescent="0.35">
      <c r="G1299" s="40">
        <f t="shared" si="21"/>
        <v>47495</v>
      </c>
    </row>
    <row r="1300" spans="7:7" x14ac:dyDescent="0.35">
      <c r="G1300" s="40">
        <f t="shared" si="21"/>
        <v>47496</v>
      </c>
    </row>
    <row r="1301" spans="7:7" x14ac:dyDescent="0.35">
      <c r="G1301" s="40">
        <f t="shared" si="21"/>
        <v>47497</v>
      </c>
    </row>
    <row r="1302" spans="7:7" x14ac:dyDescent="0.35">
      <c r="G1302" s="40">
        <f t="shared" si="21"/>
        <v>47498</v>
      </c>
    </row>
    <row r="1303" spans="7:7" x14ac:dyDescent="0.35">
      <c r="G1303" s="40">
        <f t="shared" si="21"/>
        <v>47499</v>
      </c>
    </row>
    <row r="1304" spans="7:7" x14ac:dyDescent="0.35">
      <c r="G1304" s="40">
        <f t="shared" si="21"/>
        <v>47500</v>
      </c>
    </row>
    <row r="1305" spans="7:7" x14ac:dyDescent="0.35">
      <c r="G1305" s="40">
        <f t="shared" si="21"/>
        <v>47501</v>
      </c>
    </row>
    <row r="1306" spans="7:7" x14ac:dyDescent="0.35">
      <c r="G1306" s="40">
        <f t="shared" si="21"/>
        <v>47502</v>
      </c>
    </row>
    <row r="1307" spans="7:7" x14ac:dyDescent="0.35">
      <c r="G1307" s="40">
        <f t="shared" si="21"/>
        <v>47503</v>
      </c>
    </row>
    <row r="1308" spans="7:7" x14ac:dyDescent="0.35">
      <c r="G1308" s="40">
        <f t="shared" si="21"/>
        <v>47504</v>
      </c>
    </row>
    <row r="1309" spans="7:7" x14ac:dyDescent="0.35">
      <c r="G1309" s="40">
        <f t="shared" si="21"/>
        <v>47505</v>
      </c>
    </row>
    <row r="1310" spans="7:7" x14ac:dyDescent="0.35">
      <c r="G1310" s="40">
        <f t="shared" si="21"/>
        <v>47506</v>
      </c>
    </row>
    <row r="1311" spans="7:7" x14ac:dyDescent="0.35">
      <c r="G1311" s="40">
        <f t="shared" si="21"/>
        <v>47507</v>
      </c>
    </row>
    <row r="1312" spans="7:7" x14ac:dyDescent="0.35">
      <c r="G1312" s="40">
        <f t="shared" si="21"/>
        <v>47508</v>
      </c>
    </row>
    <row r="1313" spans="7:7" x14ac:dyDescent="0.35">
      <c r="G1313" s="40">
        <f t="shared" si="21"/>
        <v>47509</v>
      </c>
    </row>
    <row r="1314" spans="7:7" x14ac:dyDescent="0.35">
      <c r="G1314" s="40">
        <f t="shared" si="21"/>
        <v>47510</v>
      </c>
    </row>
    <row r="1315" spans="7:7" x14ac:dyDescent="0.35">
      <c r="G1315" s="40">
        <f t="shared" si="21"/>
        <v>47511</v>
      </c>
    </row>
    <row r="1316" spans="7:7" x14ac:dyDescent="0.35">
      <c r="G1316" s="40">
        <f t="shared" si="21"/>
        <v>47512</v>
      </c>
    </row>
    <row r="1317" spans="7:7" x14ac:dyDescent="0.35">
      <c r="G1317" s="40">
        <f t="shared" si="21"/>
        <v>47513</v>
      </c>
    </row>
    <row r="1318" spans="7:7" x14ac:dyDescent="0.35">
      <c r="G1318" s="40">
        <f t="shared" si="21"/>
        <v>47514</v>
      </c>
    </row>
    <row r="1319" spans="7:7" x14ac:dyDescent="0.35">
      <c r="G1319" s="40">
        <f t="shared" si="21"/>
        <v>47515</v>
      </c>
    </row>
    <row r="1320" spans="7:7" x14ac:dyDescent="0.35">
      <c r="G1320" s="40">
        <f t="shared" si="21"/>
        <v>47516</v>
      </c>
    </row>
    <row r="1321" spans="7:7" x14ac:dyDescent="0.35">
      <c r="G1321" s="40">
        <f t="shared" si="21"/>
        <v>47517</v>
      </c>
    </row>
    <row r="1322" spans="7:7" x14ac:dyDescent="0.35">
      <c r="G1322" s="40">
        <f t="shared" si="21"/>
        <v>47518</v>
      </c>
    </row>
    <row r="1323" spans="7:7" x14ac:dyDescent="0.35">
      <c r="G1323" s="40">
        <f t="shared" si="21"/>
        <v>47519</v>
      </c>
    </row>
    <row r="1324" spans="7:7" x14ac:dyDescent="0.35">
      <c r="G1324" s="40">
        <f t="shared" si="21"/>
        <v>47520</v>
      </c>
    </row>
    <row r="1325" spans="7:7" x14ac:dyDescent="0.35">
      <c r="G1325" s="40">
        <f t="shared" si="21"/>
        <v>47521</v>
      </c>
    </row>
    <row r="1326" spans="7:7" x14ac:dyDescent="0.35">
      <c r="G1326" s="40">
        <f t="shared" si="21"/>
        <v>47522</v>
      </c>
    </row>
    <row r="1327" spans="7:7" x14ac:dyDescent="0.35">
      <c r="G1327" s="40">
        <f t="shared" si="21"/>
        <v>47523</v>
      </c>
    </row>
    <row r="1328" spans="7:7" x14ac:dyDescent="0.35">
      <c r="G1328" s="40">
        <f t="shared" si="21"/>
        <v>47524</v>
      </c>
    </row>
    <row r="1329" spans="7:7" x14ac:dyDescent="0.35">
      <c r="G1329" s="40">
        <f t="shared" si="21"/>
        <v>47525</v>
      </c>
    </row>
    <row r="1330" spans="7:7" x14ac:dyDescent="0.35">
      <c r="G1330" s="40">
        <f t="shared" si="21"/>
        <v>47526</v>
      </c>
    </row>
    <row r="1331" spans="7:7" x14ac:dyDescent="0.35">
      <c r="G1331" s="40">
        <f t="shared" si="21"/>
        <v>47527</v>
      </c>
    </row>
    <row r="1332" spans="7:7" x14ac:dyDescent="0.35">
      <c r="G1332" s="40">
        <f t="shared" si="21"/>
        <v>47528</v>
      </c>
    </row>
    <row r="1333" spans="7:7" x14ac:dyDescent="0.35">
      <c r="G1333" s="40">
        <f t="shared" si="21"/>
        <v>47529</v>
      </c>
    </row>
    <row r="1334" spans="7:7" x14ac:dyDescent="0.35">
      <c r="G1334" s="40">
        <f t="shared" si="21"/>
        <v>47530</v>
      </c>
    </row>
    <row r="1335" spans="7:7" x14ac:dyDescent="0.35">
      <c r="G1335" s="40">
        <f t="shared" si="21"/>
        <v>47531</v>
      </c>
    </row>
    <row r="1336" spans="7:7" x14ac:dyDescent="0.35">
      <c r="G1336" s="40">
        <f t="shared" si="21"/>
        <v>47532</v>
      </c>
    </row>
    <row r="1337" spans="7:7" x14ac:dyDescent="0.35">
      <c r="G1337" s="40">
        <f t="shared" si="21"/>
        <v>47533</v>
      </c>
    </row>
    <row r="1338" spans="7:7" x14ac:dyDescent="0.35">
      <c r="G1338" s="40">
        <f t="shared" si="21"/>
        <v>47534</v>
      </c>
    </row>
    <row r="1339" spans="7:7" x14ac:dyDescent="0.35">
      <c r="G1339" s="40">
        <f t="shared" si="21"/>
        <v>47535</v>
      </c>
    </row>
    <row r="1340" spans="7:7" x14ac:dyDescent="0.35">
      <c r="G1340" s="40">
        <f t="shared" si="21"/>
        <v>47536</v>
      </c>
    </row>
    <row r="1341" spans="7:7" x14ac:dyDescent="0.35">
      <c r="G1341" s="40">
        <f t="shared" si="21"/>
        <v>47537</v>
      </c>
    </row>
    <row r="1342" spans="7:7" x14ac:dyDescent="0.35">
      <c r="G1342" s="40">
        <f t="shared" si="21"/>
        <v>47538</v>
      </c>
    </row>
    <row r="1343" spans="7:7" x14ac:dyDescent="0.35">
      <c r="G1343" s="40">
        <f t="shared" si="21"/>
        <v>47539</v>
      </c>
    </row>
    <row r="1344" spans="7:7" x14ac:dyDescent="0.35">
      <c r="G1344" s="40">
        <f t="shared" si="21"/>
        <v>47540</v>
      </c>
    </row>
    <row r="1345" spans="7:7" x14ac:dyDescent="0.35">
      <c r="G1345" s="40">
        <f t="shared" si="21"/>
        <v>47541</v>
      </c>
    </row>
    <row r="1346" spans="7:7" x14ac:dyDescent="0.35">
      <c r="G1346" s="40">
        <f t="shared" si="21"/>
        <v>47542</v>
      </c>
    </row>
    <row r="1347" spans="7:7" x14ac:dyDescent="0.35">
      <c r="G1347" s="40">
        <f t="shared" si="21"/>
        <v>47543</v>
      </c>
    </row>
    <row r="1348" spans="7:7" x14ac:dyDescent="0.35">
      <c r="G1348" s="40">
        <f t="shared" si="21"/>
        <v>47544</v>
      </c>
    </row>
    <row r="1349" spans="7:7" x14ac:dyDescent="0.35">
      <c r="G1349" s="40">
        <f t="shared" ref="G1349:G1412" si="22">G1348+1</f>
        <v>47545</v>
      </c>
    </row>
    <row r="1350" spans="7:7" x14ac:dyDescent="0.35">
      <c r="G1350" s="40">
        <f t="shared" si="22"/>
        <v>47546</v>
      </c>
    </row>
    <row r="1351" spans="7:7" x14ac:dyDescent="0.35">
      <c r="G1351" s="40">
        <f t="shared" si="22"/>
        <v>47547</v>
      </c>
    </row>
    <row r="1352" spans="7:7" x14ac:dyDescent="0.35">
      <c r="G1352" s="40">
        <f t="shared" si="22"/>
        <v>47548</v>
      </c>
    </row>
    <row r="1353" spans="7:7" x14ac:dyDescent="0.35">
      <c r="G1353" s="40">
        <f t="shared" si="22"/>
        <v>47549</v>
      </c>
    </row>
    <row r="1354" spans="7:7" x14ac:dyDescent="0.35">
      <c r="G1354" s="40">
        <f t="shared" si="22"/>
        <v>47550</v>
      </c>
    </row>
    <row r="1355" spans="7:7" x14ac:dyDescent="0.35">
      <c r="G1355" s="40">
        <f t="shared" si="22"/>
        <v>47551</v>
      </c>
    </row>
    <row r="1356" spans="7:7" x14ac:dyDescent="0.35">
      <c r="G1356" s="40">
        <f t="shared" si="22"/>
        <v>47552</v>
      </c>
    </row>
    <row r="1357" spans="7:7" x14ac:dyDescent="0.35">
      <c r="G1357" s="40">
        <f t="shared" si="22"/>
        <v>47553</v>
      </c>
    </row>
    <row r="1358" spans="7:7" x14ac:dyDescent="0.35">
      <c r="G1358" s="40">
        <f t="shared" si="22"/>
        <v>47554</v>
      </c>
    </row>
    <row r="1359" spans="7:7" x14ac:dyDescent="0.35">
      <c r="G1359" s="40">
        <f t="shared" si="22"/>
        <v>47555</v>
      </c>
    </row>
    <row r="1360" spans="7:7" x14ac:dyDescent="0.35">
      <c r="G1360" s="40">
        <f t="shared" si="22"/>
        <v>47556</v>
      </c>
    </row>
    <row r="1361" spans="7:7" x14ac:dyDescent="0.35">
      <c r="G1361" s="40">
        <f t="shared" si="22"/>
        <v>47557</v>
      </c>
    </row>
    <row r="1362" spans="7:7" x14ac:dyDescent="0.35">
      <c r="G1362" s="40">
        <f t="shared" si="22"/>
        <v>47558</v>
      </c>
    </row>
    <row r="1363" spans="7:7" x14ac:dyDescent="0.35">
      <c r="G1363" s="40">
        <f t="shared" si="22"/>
        <v>47559</v>
      </c>
    </row>
    <row r="1364" spans="7:7" x14ac:dyDescent="0.35">
      <c r="G1364" s="40">
        <f t="shared" si="22"/>
        <v>47560</v>
      </c>
    </row>
    <row r="1365" spans="7:7" x14ac:dyDescent="0.35">
      <c r="G1365" s="40">
        <f t="shared" si="22"/>
        <v>47561</v>
      </c>
    </row>
    <row r="1366" spans="7:7" x14ac:dyDescent="0.35">
      <c r="G1366" s="40">
        <f t="shared" si="22"/>
        <v>47562</v>
      </c>
    </row>
    <row r="1367" spans="7:7" x14ac:dyDescent="0.35">
      <c r="G1367" s="40">
        <f t="shared" si="22"/>
        <v>47563</v>
      </c>
    </row>
    <row r="1368" spans="7:7" x14ac:dyDescent="0.35">
      <c r="G1368" s="40">
        <f t="shared" si="22"/>
        <v>47564</v>
      </c>
    </row>
    <row r="1369" spans="7:7" x14ac:dyDescent="0.35">
      <c r="G1369" s="40">
        <f t="shared" si="22"/>
        <v>47565</v>
      </c>
    </row>
    <row r="1370" spans="7:7" x14ac:dyDescent="0.35">
      <c r="G1370" s="40">
        <f t="shared" si="22"/>
        <v>47566</v>
      </c>
    </row>
    <row r="1371" spans="7:7" x14ac:dyDescent="0.35">
      <c r="G1371" s="40">
        <f t="shared" si="22"/>
        <v>47567</v>
      </c>
    </row>
    <row r="1372" spans="7:7" x14ac:dyDescent="0.35">
      <c r="G1372" s="40">
        <f t="shared" si="22"/>
        <v>47568</v>
      </c>
    </row>
    <row r="1373" spans="7:7" x14ac:dyDescent="0.35">
      <c r="G1373" s="40">
        <f t="shared" si="22"/>
        <v>47569</v>
      </c>
    </row>
    <row r="1374" spans="7:7" x14ac:dyDescent="0.35">
      <c r="G1374" s="40">
        <f t="shared" si="22"/>
        <v>47570</v>
      </c>
    </row>
    <row r="1375" spans="7:7" x14ac:dyDescent="0.35">
      <c r="G1375" s="40">
        <f t="shared" si="22"/>
        <v>47571</v>
      </c>
    </row>
    <row r="1376" spans="7:7" x14ac:dyDescent="0.35">
      <c r="G1376" s="40">
        <f t="shared" si="22"/>
        <v>47572</v>
      </c>
    </row>
    <row r="1377" spans="7:7" x14ac:dyDescent="0.35">
      <c r="G1377" s="40">
        <f t="shared" si="22"/>
        <v>47573</v>
      </c>
    </row>
    <row r="1378" spans="7:7" x14ac:dyDescent="0.35">
      <c r="G1378" s="40">
        <f t="shared" si="22"/>
        <v>47574</v>
      </c>
    </row>
    <row r="1379" spans="7:7" x14ac:dyDescent="0.35">
      <c r="G1379" s="40">
        <f t="shared" si="22"/>
        <v>47575</v>
      </c>
    </row>
    <row r="1380" spans="7:7" x14ac:dyDescent="0.35">
      <c r="G1380" s="40">
        <f t="shared" si="22"/>
        <v>47576</v>
      </c>
    </row>
    <row r="1381" spans="7:7" x14ac:dyDescent="0.35">
      <c r="G1381" s="40">
        <f t="shared" si="22"/>
        <v>47577</v>
      </c>
    </row>
    <row r="1382" spans="7:7" x14ac:dyDescent="0.35">
      <c r="G1382" s="40">
        <f t="shared" si="22"/>
        <v>47578</v>
      </c>
    </row>
    <row r="1383" spans="7:7" x14ac:dyDescent="0.35">
      <c r="G1383" s="40">
        <f t="shared" si="22"/>
        <v>47579</v>
      </c>
    </row>
    <row r="1384" spans="7:7" x14ac:dyDescent="0.35">
      <c r="G1384" s="40">
        <f t="shared" si="22"/>
        <v>47580</v>
      </c>
    </row>
    <row r="1385" spans="7:7" x14ac:dyDescent="0.35">
      <c r="G1385" s="40">
        <f t="shared" si="22"/>
        <v>47581</v>
      </c>
    </row>
    <row r="1386" spans="7:7" x14ac:dyDescent="0.35">
      <c r="G1386" s="40">
        <f t="shared" si="22"/>
        <v>47582</v>
      </c>
    </row>
    <row r="1387" spans="7:7" x14ac:dyDescent="0.35">
      <c r="G1387" s="40">
        <f t="shared" si="22"/>
        <v>47583</v>
      </c>
    </row>
    <row r="1388" spans="7:7" x14ac:dyDescent="0.35">
      <c r="G1388" s="40">
        <f t="shared" si="22"/>
        <v>47584</v>
      </c>
    </row>
    <row r="1389" spans="7:7" x14ac:dyDescent="0.35">
      <c r="G1389" s="40">
        <f t="shared" si="22"/>
        <v>47585</v>
      </c>
    </row>
    <row r="1390" spans="7:7" x14ac:dyDescent="0.35">
      <c r="G1390" s="40">
        <f t="shared" si="22"/>
        <v>47586</v>
      </c>
    </row>
    <row r="1391" spans="7:7" x14ac:dyDescent="0.35">
      <c r="G1391" s="40">
        <f t="shared" si="22"/>
        <v>47587</v>
      </c>
    </row>
    <row r="1392" spans="7:7" x14ac:dyDescent="0.35">
      <c r="G1392" s="40">
        <f t="shared" si="22"/>
        <v>47588</v>
      </c>
    </row>
    <row r="1393" spans="7:7" x14ac:dyDescent="0.35">
      <c r="G1393" s="40">
        <f t="shared" si="22"/>
        <v>47589</v>
      </c>
    </row>
    <row r="1394" spans="7:7" x14ac:dyDescent="0.35">
      <c r="G1394" s="40">
        <f t="shared" si="22"/>
        <v>47590</v>
      </c>
    </row>
    <row r="1395" spans="7:7" x14ac:dyDescent="0.35">
      <c r="G1395" s="40">
        <f t="shared" si="22"/>
        <v>47591</v>
      </c>
    </row>
    <row r="1396" spans="7:7" x14ac:dyDescent="0.35">
      <c r="G1396" s="40">
        <f t="shared" si="22"/>
        <v>47592</v>
      </c>
    </row>
    <row r="1397" spans="7:7" x14ac:dyDescent="0.35">
      <c r="G1397" s="40">
        <f t="shared" si="22"/>
        <v>47593</v>
      </c>
    </row>
    <row r="1398" spans="7:7" x14ac:dyDescent="0.35">
      <c r="G1398" s="40">
        <f t="shared" si="22"/>
        <v>47594</v>
      </c>
    </row>
    <row r="1399" spans="7:7" x14ac:dyDescent="0.35">
      <c r="G1399" s="40">
        <f t="shared" si="22"/>
        <v>47595</v>
      </c>
    </row>
    <row r="1400" spans="7:7" x14ac:dyDescent="0.35">
      <c r="G1400" s="40">
        <f t="shared" si="22"/>
        <v>47596</v>
      </c>
    </row>
    <row r="1401" spans="7:7" x14ac:dyDescent="0.35">
      <c r="G1401" s="40">
        <f t="shared" si="22"/>
        <v>47597</v>
      </c>
    </row>
    <row r="1402" spans="7:7" x14ac:dyDescent="0.35">
      <c r="G1402" s="40">
        <f t="shared" si="22"/>
        <v>47598</v>
      </c>
    </row>
    <row r="1403" spans="7:7" x14ac:dyDescent="0.35">
      <c r="G1403" s="40">
        <f t="shared" si="22"/>
        <v>47599</v>
      </c>
    </row>
    <row r="1404" spans="7:7" x14ac:dyDescent="0.35">
      <c r="G1404" s="40">
        <f t="shared" si="22"/>
        <v>47600</v>
      </c>
    </row>
    <row r="1405" spans="7:7" x14ac:dyDescent="0.35">
      <c r="G1405" s="40">
        <f t="shared" si="22"/>
        <v>47601</v>
      </c>
    </row>
    <row r="1406" spans="7:7" x14ac:dyDescent="0.35">
      <c r="G1406" s="40">
        <f t="shared" si="22"/>
        <v>47602</v>
      </c>
    </row>
    <row r="1407" spans="7:7" x14ac:dyDescent="0.35">
      <c r="G1407" s="40">
        <f t="shared" si="22"/>
        <v>47603</v>
      </c>
    </row>
    <row r="1408" spans="7:7" x14ac:dyDescent="0.35">
      <c r="G1408" s="40">
        <f t="shared" si="22"/>
        <v>47604</v>
      </c>
    </row>
    <row r="1409" spans="7:7" x14ac:dyDescent="0.35">
      <c r="G1409" s="40">
        <f t="shared" si="22"/>
        <v>47605</v>
      </c>
    </row>
    <row r="1410" spans="7:7" x14ac:dyDescent="0.35">
      <c r="G1410" s="40">
        <f t="shared" si="22"/>
        <v>47606</v>
      </c>
    </row>
    <row r="1411" spans="7:7" x14ac:dyDescent="0.35">
      <c r="G1411" s="40">
        <f t="shared" si="22"/>
        <v>47607</v>
      </c>
    </row>
    <row r="1412" spans="7:7" x14ac:dyDescent="0.35">
      <c r="G1412" s="40">
        <f t="shared" si="22"/>
        <v>47608</v>
      </c>
    </row>
    <row r="1413" spans="7:7" x14ac:dyDescent="0.35">
      <c r="G1413" s="40">
        <f t="shared" ref="G1413:G1476" si="23">G1412+1</f>
        <v>47609</v>
      </c>
    </row>
    <row r="1414" spans="7:7" x14ac:dyDescent="0.35">
      <c r="G1414" s="40">
        <f t="shared" si="23"/>
        <v>47610</v>
      </c>
    </row>
    <row r="1415" spans="7:7" x14ac:dyDescent="0.35">
      <c r="G1415" s="40">
        <f t="shared" si="23"/>
        <v>47611</v>
      </c>
    </row>
    <row r="1416" spans="7:7" x14ac:dyDescent="0.35">
      <c r="G1416" s="40">
        <f t="shared" si="23"/>
        <v>47612</v>
      </c>
    </row>
    <row r="1417" spans="7:7" x14ac:dyDescent="0.35">
      <c r="G1417" s="40">
        <f t="shared" si="23"/>
        <v>47613</v>
      </c>
    </row>
    <row r="1418" spans="7:7" x14ac:dyDescent="0.35">
      <c r="G1418" s="40">
        <f t="shared" si="23"/>
        <v>47614</v>
      </c>
    </row>
    <row r="1419" spans="7:7" x14ac:dyDescent="0.35">
      <c r="G1419" s="40">
        <f t="shared" si="23"/>
        <v>47615</v>
      </c>
    </row>
    <row r="1420" spans="7:7" x14ac:dyDescent="0.35">
      <c r="G1420" s="40">
        <f t="shared" si="23"/>
        <v>47616</v>
      </c>
    </row>
    <row r="1421" spans="7:7" x14ac:dyDescent="0.35">
      <c r="G1421" s="40">
        <f t="shared" si="23"/>
        <v>47617</v>
      </c>
    </row>
    <row r="1422" spans="7:7" x14ac:dyDescent="0.35">
      <c r="G1422" s="40">
        <f t="shared" si="23"/>
        <v>47618</v>
      </c>
    </row>
    <row r="1423" spans="7:7" x14ac:dyDescent="0.35">
      <c r="G1423" s="40">
        <f t="shared" si="23"/>
        <v>47619</v>
      </c>
    </row>
    <row r="1424" spans="7:7" x14ac:dyDescent="0.35">
      <c r="G1424" s="40">
        <f t="shared" si="23"/>
        <v>47620</v>
      </c>
    </row>
    <row r="1425" spans="7:7" x14ac:dyDescent="0.35">
      <c r="G1425" s="40">
        <f t="shared" si="23"/>
        <v>47621</v>
      </c>
    </row>
    <row r="1426" spans="7:7" x14ac:dyDescent="0.35">
      <c r="G1426" s="40">
        <f t="shared" si="23"/>
        <v>47622</v>
      </c>
    </row>
    <row r="1427" spans="7:7" x14ac:dyDescent="0.35">
      <c r="G1427" s="40">
        <f t="shared" si="23"/>
        <v>47623</v>
      </c>
    </row>
    <row r="1428" spans="7:7" x14ac:dyDescent="0.35">
      <c r="G1428" s="40">
        <f t="shared" si="23"/>
        <v>47624</v>
      </c>
    </row>
    <row r="1429" spans="7:7" x14ac:dyDescent="0.35">
      <c r="G1429" s="40">
        <f t="shared" si="23"/>
        <v>47625</v>
      </c>
    </row>
    <row r="1430" spans="7:7" x14ac:dyDescent="0.35">
      <c r="G1430" s="40">
        <f t="shared" si="23"/>
        <v>47626</v>
      </c>
    </row>
    <row r="1431" spans="7:7" x14ac:dyDescent="0.35">
      <c r="G1431" s="40">
        <f t="shared" si="23"/>
        <v>47627</v>
      </c>
    </row>
    <row r="1432" spans="7:7" x14ac:dyDescent="0.35">
      <c r="G1432" s="40">
        <f t="shared" si="23"/>
        <v>47628</v>
      </c>
    </row>
    <row r="1433" spans="7:7" x14ac:dyDescent="0.35">
      <c r="G1433" s="40">
        <f t="shared" si="23"/>
        <v>47629</v>
      </c>
    </row>
    <row r="1434" spans="7:7" x14ac:dyDescent="0.35">
      <c r="G1434" s="40">
        <f t="shared" si="23"/>
        <v>47630</v>
      </c>
    </row>
    <row r="1435" spans="7:7" x14ac:dyDescent="0.35">
      <c r="G1435" s="40">
        <f t="shared" si="23"/>
        <v>47631</v>
      </c>
    </row>
    <row r="1436" spans="7:7" x14ac:dyDescent="0.35">
      <c r="G1436" s="40">
        <f t="shared" si="23"/>
        <v>47632</v>
      </c>
    </row>
    <row r="1437" spans="7:7" x14ac:dyDescent="0.35">
      <c r="G1437" s="40">
        <f t="shared" si="23"/>
        <v>47633</v>
      </c>
    </row>
    <row r="1438" spans="7:7" x14ac:dyDescent="0.35">
      <c r="G1438" s="40">
        <f t="shared" si="23"/>
        <v>47634</v>
      </c>
    </row>
    <row r="1439" spans="7:7" x14ac:dyDescent="0.35">
      <c r="G1439" s="40">
        <f t="shared" si="23"/>
        <v>47635</v>
      </c>
    </row>
    <row r="1440" spans="7:7" x14ac:dyDescent="0.35">
      <c r="G1440" s="40">
        <f t="shared" si="23"/>
        <v>47636</v>
      </c>
    </row>
    <row r="1441" spans="7:7" x14ac:dyDescent="0.35">
      <c r="G1441" s="40">
        <f t="shared" si="23"/>
        <v>47637</v>
      </c>
    </row>
    <row r="1442" spans="7:7" x14ac:dyDescent="0.35">
      <c r="G1442" s="40">
        <f t="shared" si="23"/>
        <v>47638</v>
      </c>
    </row>
    <row r="1443" spans="7:7" x14ac:dyDescent="0.35">
      <c r="G1443" s="40">
        <f t="shared" si="23"/>
        <v>47639</v>
      </c>
    </row>
    <row r="1444" spans="7:7" x14ac:dyDescent="0.35">
      <c r="G1444" s="40">
        <f t="shared" si="23"/>
        <v>47640</v>
      </c>
    </row>
    <row r="1445" spans="7:7" x14ac:dyDescent="0.35">
      <c r="G1445" s="40">
        <f t="shared" si="23"/>
        <v>47641</v>
      </c>
    </row>
    <row r="1446" spans="7:7" x14ac:dyDescent="0.35">
      <c r="G1446" s="40">
        <f t="shared" si="23"/>
        <v>47642</v>
      </c>
    </row>
    <row r="1447" spans="7:7" x14ac:dyDescent="0.35">
      <c r="G1447" s="40">
        <f t="shared" si="23"/>
        <v>47643</v>
      </c>
    </row>
    <row r="1448" spans="7:7" x14ac:dyDescent="0.35">
      <c r="G1448" s="40">
        <f t="shared" si="23"/>
        <v>47644</v>
      </c>
    </row>
    <row r="1449" spans="7:7" x14ac:dyDescent="0.35">
      <c r="G1449" s="40">
        <f t="shared" si="23"/>
        <v>47645</v>
      </c>
    </row>
    <row r="1450" spans="7:7" x14ac:dyDescent="0.35">
      <c r="G1450" s="40">
        <f t="shared" si="23"/>
        <v>47646</v>
      </c>
    </row>
    <row r="1451" spans="7:7" x14ac:dyDescent="0.35">
      <c r="G1451" s="40">
        <f t="shared" si="23"/>
        <v>47647</v>
      </c>
    </row>
    <row r="1452" spans="7:7" x14ac:dyDescent="0.35">
      <c r="G1452" s="40">
        <f t="shared" si="23"/>
        <v>47648</v>
      </c>
    </row>
    <row r="1453" spans="7:7" x14ac:dyDescent="0.35">
      <c r="G1453" s="40">
        <f t="shared" si="23"/>
        <v>47649</v>
      </c>
    </row>
    <row r="1454" spans="7:7" x14ac:dyDescent="0.35">
      <c r="G1454" s="40">
        <f t="shared" si="23"/>
        <v>47650</v>
      </c>
    </row>
    <row r="1455" spans="7:7" x14ac:dyDescent="0.35">
      <c r="G1455" s="40">
        <f t="shared" si="23"/>
        <v>47651</v>
      </c>
    </row>
    <row r="1456" spans="7:7" x14ac:dyDescent="0.35">
      <c r="G1456" s="40">
        <f t="shared" si="23"/>
        <v>47652</v>
      </c>
    </row>
    <row r="1457" spans="7:7" x14ac:dyDescent="0.35">
      <c r="G1457" s="40">
        <f t="shared" si="23"/>
        <v>47653</v>
      </c>
    </row>
    <row r="1458" spans="7:7" x14ac:dyDescent="0.35">
      <c r="G1458" s="40">
        <f t="shared" si="23"/>
        <v>47654</v>
      </c>
    </row>
    <row r="1459" spans="7:7" x14ac:dyDescent="0.35">
      <c r="G1459" s="40">
        <f t="shared" si="23"/>
        <v>47655</v>
      </c>
    </row>
    <row r="1460" spans="7:7" x14ac:dyDescent="0.35">
      <c r="G1460" s="40">
        <f t="shared" si="23"/>
        <v>47656</v>
      </c>
    </row>
    <row r="1461" spans="7:7" x14ac:dyDescent="0.35">
      <c r="G1461" s="40">
        <f t="shared" si="23"/>
        <v>47657</v>
      </c>
    </row>
    <row r="1462" spans="7:7" x14ac:dyDescent="0.35">
      <c r="G1462" s="40">
        <f t="shared" si="23"/>
        <v>47658</v>
      </c>
    </row>
    <row r="1463" spans="7:7" x14ac:dyDescent="0.35">
      <c r="G1463" s="40">
        <f t="shared" si="23"/>
        <v>47659</v>
      </c>
    </row>
    <row r="1464" spans="7:7" x14ac:dyDescent="0.35">
      <c r="G1464" s="40">
        <f t="shared" si="23"/>
        <v>47660</v>
      </c>
    </row>
    <row r="1465" spans="7:7" x14ac:dyDescent="0.35">
      <c r="G1465" s="40">
        <f t="shared" si="23"/>
        <v>47661</v>
      </c>
    </row>
    <row r="1466" spans="7:7" x14ac:dyDescent="0.35">
      <c r="G1466" s="40">
        <f t="shared" si="23"/>
        <v>47662</v>
      </c>
    </row>
    <row r="1467" spans="7:7" x14ac:dyDescent="0.35">
      <c r="G1467" s="40">
        <f t="shared" si="23"/>
        <v>47663</v>
      </c>
    </row>
    <row r="1468" spans="7:7" x14ac:dyDescent="0.35">
      <c r="G1468" s="40">
        <f t="shared" si="23"/>
        <v>47664</v>
      </c>
    </row>
    <row r="1469" spans="7:7" x14ac:dyDescent="0.35">
      <c r="G1469" s="40">
        <f t="shared" si="23"/>
        <v>47665</v>
      </c>
    </row>
    <row r="1470" spans="7:7" x14ac:dyDescent="0.35">
      <c r="G1470" s="40">
        <f t="shared" si="23"/>
        <v>47666</v>
      </c>
    </row>
    <row r="1471" spans="7:7" x14ac:dyDescent="0.35">
      <c r="G1471" s="40">
        <f t="shared" si="23"/>
        <v>47667</v>
      </c>
    </row>
    <row r="1472" spans="7:7" x14ac:dyDescent="0.35">
      <c r="G1472" s="40">
        <f t="shared" si="23"/>
        <v>47668</v>
      </c>
    </row>
    <row r="1473" spans="7:7" x14ac:dyDescent="0.35">
      <c r="G1473" s="40">
        <f t="shared" si="23"/>
        <v>47669</v>
      </c>
    </row>
    <row r="1474" spans="7:7" x14ac:dyDescent="0.35">
      <c r="G1474" s="40">
        <f t="shared" si="23"/>
        <v>47670</v>
      </c>
    </row>
    <row r="1475" spans="7:7" x14ac:dyDescent="0.35">
      <c r="G1475" s="40">
        <f t="shared" si="23"/>
        <v>47671</v>
      </c>
    </row>
    <row r="1476" spans="7:7" x14ac:dyDescent="0.35">
      <c r="G1476" s="40">
        <f t="shared" si="23"/>
        <v>47672</v>
      </c>
    </row>
    <row r="1477" spans="7:7" x14ac:dyDescent="0.35">
      <c r="G1477" s="40">
        <f t="shared" ref="G1477:G1540" si="24">G1476+1</f>
        <v>47673</v>
      </c>
    </row>
    <row r="1478" spans="7:7" x14ac:dyDescent="0.35">
      <c r="G1478" s="40">
        <f t="shared" si="24"/>
        <v>47674</v>
      </c>
    </row>
    <row r="1479" spans="7:7" x14ac:dyDescent="0.35">
      <c r="G1479" s="40">
        <f t="shared" si="24"/>
        <v>47675</v>
      </c>
    </row>
    <row r="1480" spans="7:7" x14ac:dyDescent="0.35">
      <c r="G1480" s="40">
        <f t="shared" si="24"/>
        <v>47676</v>
      </c>
    </row>
    <row r="1481" spans="7:7" x14ac:dyDescent="0.35">
      <c r="G1481" s="40">
        <f t="shared" si="24"/>
        <v>47677</v>
      </c>
    </row>
    <row r="1482" spans="7:7" x14ac:dyDescent="0.35">
      <c r="G1482" s="40">
        <f t="shared" si="24"/>
        <v>47678</v>
      </c>
    </row>
    <row r="1483" spans="7:7" x14ac:dyDescent="0.35">
      <c r="G1483" s="40">
        <f t="shared" si="24"/>
        <v>47679</v>
      </c>
    </row>
    <row r="1484" spans="7:7" x14ac:dyDescent="0.35">
      <c r="G1484" s="40">
        <f t="shared" si="24"/>
        <v>47680</v>
      </c>
    </row>
    <row r="1485" spans="7:7" x14ac:dyDescent="0.35">
      <c r="G1485" s="40">
        <f t="shared" si="24"/>
        <v>47681</v>
      </c>
    </row>
    <row r="1486" spans="7:7" x14ac:dyDescent="0.35">
      <c r="G1486" s="40">
        <f t="shared" si="24"/>
        <v>47682</v>
      </c>
    </row>
    <row r="1487" spans="7:7" x14ac:dyDescent="0.35">
      <c r="G1487" s="40">
        <f t="shared" si="24"/>
        <v>47683</v>
      </c>
    </row>
    <row r="1488" spans="7:7" x14ac:dyDescent="0.35">
      <c r="G1488" s="40">
        <f t="shared" si="24"/>
        <v>47684</v>
      </c>
    </row>
    <row r="1489" spans="7:7" x14ac:dyDescent="0.35">
      <c r="G1489" s="40">
        <f t="shared" si="24"/>
        <v>47685</v>
      </c>
    </row>
    <row r="1490" spans="7:7" x14ac:dyDescent="0.35">
      <c r="G1490" s="40">
        <f t="shared" si="24"/>
        <v>47686</v>
      </c>
    </row>
    <row r="1491" spans="7:7" x14ac:dyDescent="0.35">
      <c r="G1491" s="40">
        <f t="shared" si="24"/>
        <v>47687</v>
      </c>
    </row>
    <row r="1492" spans="7:7" x14ac:dyDescent="0.35">
      <c r="G1492" s="40">
        <f t="shared" si="24"/>
        <v>47688</v>
      </c>
    </row>
    <row r="1493" spans="7:7" x14ac:dyDescent="0.35">
      <c r="G1493" s="40">
        <f t="shared" si="24"/>
        <v>47689</v>
      </c>
    </row>
    <row r="1494" spans="7:7" x14ac:dyDescent="0.35">
      <c r="G1494" s="40">
        <f t="shared" si="24"/>
        <v>47690</v>
      </c>
    </row>
    <row r="1495" spans="7:7" x14ac:dyDescent="0.35">
      <c r="G1495" s="40">
        <f t="shared" si="24"/>
        <v>47691</v>
      </c>
    </row>
    <row r="1496" spans="7:7" x14ac:dyDescent="0.35">
      <c r="G1496" s="40">
        <f t="shared" si="24"/>
        <v>47692</v>
      </c>
    </row>
    <row r="1497" spans="7:7" x14ac:dyDescent="0.35">
      <c r="G1497" s="40">
        <f t="shared" si="24"/>
        <v>47693</v>
      </c>
    </row>
    <row r="1498" spans="7:7" x14ac:dyDescent="0.35">
      <c r="G1498" s="40">
        <f t="shared" si="24"/>
        <v>47694</v>
      </c>
    </row>
    <row r="1499" spans="7:7" x14ac:dyDescent="0.35">
      <c r="G1499" s="40">
        <f t="shared" si="24"/>
        <v>47695</v>
      </c>
    </row>
    <row r="1500" spans="7:7" x14ac:dyDescent="0.35">
      <c r="G1500" s="40">
        <f t="shared" si="24"/>
        <v>47696</v>
      </c>
    </row>
    <row r="1501" spans="7:7" x14ac:dyDescent="0.35">
      <c r="G1501" s="40">
        <f t="shared" si="24"/>
        <v>47697</v>
      </c>
    </row>
    <row r="1502" spans="7:7" x14ac:dyDescent="0.35">
      <c r="G1502" s="40">
        <f t="shared" si="24"/>
        <v>47698</v>
      </c>
    </row>
    <row r="1503" spans="7:7" x14ac:dyDescent="0.35">
      <c r="G1503" s="40">
        <f t="shared" si="24"/>
        <v>47699</v>
      </c>
    </row>
    <row r="1504" spans="7:7" x14ac:dyDescent="0.35">
      <c r="G1504" s="40">
        <f t="shared" si="24"/>
        <v>47700</v>
      </c>
    </row>
    <row r="1505" spans="7:7" x14ac:dyDescent="0.35">
      <c r="G1505" s="40">
        <f t="shared" si="24"/>
        <v>47701</v>
      </c>
    </row>
    <row r="1506" spans="7:7" x14ac:dyDescent="0.35">
      <c r="G1506" s="40">
        <f t="shared" si="24"/>
        <v>47702</v>
      </c>
    </row>
    <row r="1507" spans="7:7" x14ac:dyDescent="0.35">
      <c r="G1507" s="40">
        <f t="shared" si="24"/>
        <v>47703</v>
      </c>
    </row>
    <row r="1508" spans="7:7" x14ac:dyDescent="0.35">
      <c r="G1508" s="40">
        <f t="shared" si="24"/>
        <v>47704</v>
      </c>
    </row>
    <row r="1509" spans="7:7" x14ac:dyDescent="0.35">
      <c r="G1509" s="40">
        <f t="shared" si="24"/>
        <v>47705</v>
      </c>
    </row>
    <row r="1510" spans="7:7" x14ac:dyDescent="0.35">
      <c r="G1510" s="40">
        <f t="shared" si="24"/>
        <v>47706</v>
      </c>
    </row>
    <row r="1511" spans="7:7" x14ac:dyDescent="0.35">
      <c r="G1511" s="40">
        <f t="shared" si="24"/>
        <v>47707</v>
      </c>
    </row>
    <row r="1512" spans="7:7" x14ac:dyDescent="0.35">
      <c r="G1512" s="40">
        <f t="shared" si="24"/>
        <v>47708</v>
      </c>
    </row>
    <row r="1513" spans="7:7" x14ac:dyDescent="0.35">
      <c r="G1513" s="40">
        <f t="shared" si="24"/>
        <v>47709</v>
      </c>
    </row>
    <row r="1514" spans="7:7" x14ac:dyDescent="0.35">
      <c r="G1514" s="40">
        <f t="shared" si="24"/>
        <v>47710</v>
      </c>
    </row>
    <row r="1515" spans="7:7" x14ac:dyDescent="0.35">
      <c r="G1515" s="40">
        <f t="shared" si="24"/>
        <v>47711</v>
      </c>
    </row>
    <row r="1516" spans="7:7" x14ac:dyDescent="0.35">
      <c r="G1516" s="40">
        <f t="shared" si="24"/>
        <v>47712</v>
      </c>
    </row>
    <row r="1517" spans="7:7" x14ac:dyDescent="0.35">
      <c r="G1517" s="40">
        <f t="shared" si="24"/>
        <v>47713</v>
      </c>
    </row>
    <row r="1518" spans="7:7" x14ac:dyDescent="0.35">
      <c r="G1518" s="40">
        <f t="shared" si="24"/>
        <v>47714</v>
      </c>
    </row>
    <row r="1519" spans="7:7" x14ac:dyDescent="0.35">
      <c r="G1519" s="40">
        <f t="shared" si="24"/>
        <v>47715</v>
      </c>
    </row>
    <row r="1520" spans="7:7" x14ac:dyDescent="0.35">
      <c r="G1520" s="40">
        <f t="shared" si="24"/>
        <v>47716</v>
      </c>
    </row>
    <row r="1521" spans="7:7" x14ac:dyDescent="0.35">
      <c r="G1521" s="40">
        <f t="shared" si="24"/>
        <v>47717</v>
      </c>
    </row>
    <row r="1522" spans="7:7" x14ac:dyDescent="0.35">
      <c r="G1522" s="40">
        <f t="shared" si="24"/>
        <v>47718</v>
      </c>
    </row>
    <row r="1523" spans="7:7" x14ac:dyDescent="0.35">
      <c r="G1523" s="40">
        <f t="shared" si="24"/>
        <v>47719</v>
      </c>
    </row>
    <row r="1524" spans="7:7" x14ac:dyDescent="0.35">
      <c r="G1524" s="40">
        <f t="shared" si="24"/>
        <v>47720</v>
      </c>
    </row>
    <row r="1525" spans="7:7" x14ac:dyDescent="0.35">
      <c r="G1525" s="40">
        <f t="shared" si="24"/>
        <v>47721</v>
      </c>
    </row>
    <row r="1526" spans="7:7" x14ac:dyDescent="0.35">
      <c r="G1526" s="40">
        <f t="shared" si="24"/>
        <v>47722</v>
      </c>
    </row>
    <row r="1527" spans="7:7" x14ac:dyDescent="0.35">
      <c r="G1527" s="40">
        <f t="shared" si="24"/>
        <v>47723</v>
      </c>
    </row>
    <row r="1528" spans="7:7" x14ac:dyDescent="0.35">
      <c r="G1528" s="40">
        <f t="shared" si="24"/>
        <v>47724</v>
      </c>
    </row>
    <row r="1529" spans="7:7" x14ac:dyDescent="0.35">
      <c r="G1529" s="40">
        <f t="shared" si="24"/>
        <v>47725</v>
      </c>
    </row>
    <row r="1530" spans="7:7" x14ac:dyDescent="0.35">
      <c r="G1530" s="40">
        <f t="shared" si="24"/>
        <v>47726</v>
      </c>
    </row>
    <row r="1531" spans="7:7" x14ac:dyDescent="0.35">
      <c r="G1531" s="40">
        <f t="shared" si="24"/>
        <v>47727</v>
      </c>
    </row>
    <row r="1532" spans="7:7" x14ac:dyDescent="0.35">
      <c r="G1532" s="40">
        <f t="shared" si="24"/>
        <v>47728</v>
      </c>
    </row>
    <row r="1533" spans="7:7" x14ac:dyDescent="0.35">
      <c r="G1533" s="40">
        <f t="shared" si="24"/>
        <v>47729</v>
      </c>
    </row>
    <row r="1534" spans="7:7" x14ac:dyDescent="0.35">
      <c r="G1534" s="40">
        <f t="shared" si="24"/>
        <v>47730</v>
      </c>
    </row>
    <row r="1535" spans="7:7" x14ac:dyDescent="0.35">
      <c r="G1535" s="40">
        <f t="shared" si="24"/>
        <v>47731</v>
      </c>
    </row>
    <row r="1536" spans="7:7" x14ac:dyDescent="0.35">
      <c r="G1536" s="40">
        <f t="shared" si="24"/>
        <v>47732</v>
      </c>
    </row>
    <row r="1537" spans="7:7" x14ac:dyDescent="0.35">
      <c r="G1537" s="40">
        <f t="shared" si="24"/>
        <v>47733</v>
      </c>
    </row>
    <row r="1538" spans="7:7" x14ac:dyDescent="0.35">
      <c r="G1538" s="40">
        <f t="shared" si="24"/>
        <v>47734</v>
      </c>
    </row>
    <row r="1539" spans="7:7" x14ac:dyDescent="0.35">
      <c r="G1539" s="40">
        <f t="shared" si="24"/>
        <v>47735</v>
      </c>
    </row>
    <row r="1540" spans="7:7" x14ac:dyDescent="0.35">
      <c r="G1540" s="40">
        <f t="shared" si="24"/>
        <v>47736</v>
      </c>
    </row>
    <row r="1541" spans="7:7" x14ac:dyDescent="0.35">
      <c r="G1541" s="40">
        <f t="shared" ref="G1541:G1604" si="25">G1540+1</f>
        <v>47737</v>
      </c>
    </row>
    <row r="1542" spans="7:7" x14ac:dyDescent="0.35">
      <c r="G1542" s="40">
        <f t="shared" si="25"/>
        <v>47738</v>
      </c>
    </row>
    <row r="1543" spans="7:7" x14ac:dyDescent="0.35">
      <c r="G1543" s="40">
        <f t="shared" si="25"/>
        <v>47739</v>
      </c>
    </row>
    <row r="1544" spans="7:7" x14ac:dyDescent="0.35">
      <c r="G1544" s="40">
        <f t="shared" si="25"/>
        <v>47740</v>
      </c>
    </row>
    <row r="1545" spans="7:7" x14ac:dyDescent="0.35">
      <c r="G1545" s="40">
        <f t="shared" si="25"/>
        <v>47741</v>
      </c>
    </row>
    <row r="1546" spans="7:7" x14ac:dyDescent="0.35">
      <c r="G1546" s="40">
        <f t="shared" si="25"/>
        <v>47742</v>
      </c>
    </row>
    <row r="1547" spans="7:7" x14ac:dyDescent="0.35">
      <c r="G1547" s="40">
        <f t="shared" si="25"/>
        <v>47743</v>
      </c>
    </row>
    <row r="1548" spans="7:7" x14ac:dyDescent="0.35">
      <c r="G1548" s="40">
        <f t="shared" si="25"/>
        <v>47744</v>
      </c>
    </row>
    <row r="1549" spans="7:7" x14ac:dyDescent="0.35">
      <c r="G1549" s="40">
        <f t="shared" si="25"/>
        <v>47745</v>
      </c>
    </row>
    <row r="1550" spans="7:7" x14ac:dyDescent="0.35">
      <c r="G1550" s="40">
        <f t="shared" si="25"/>
        <v>47746</v>
      </c>
    </row>
    <row r="1551" spans="7:7" x14ac:dyDescent="0.35">
      <c r="G1551" s="40">
        <f t="shared" si="25"/>
        <v>47747</v>
      </c>
    </row>
    <row r="1552" spans="7:7" x14ac:dyDescent="0.35">
      <c r="G1552" s="40">
        <f t="shared" si="25"/>
        <v>47748</v>
      </c>
    </row>
    <row r="1553" spans="7:7" x14ac:dyDescent="0.35">
      <c r="G1553" s="40">
        <f t="shared" si="25"/>
        <v>47749</v>
      </c>
    </row>
    <row r="1554" spans="7:7" x14ac:dyDescent="0.35">
      <c r="G1554" s="40">
        <f t="shared" si="25"/>
        <v>47750</v>
      </c>
    </row>
    <row r="1555" spans="7:7" x14ac:dyDescent="0.35">
      <c r="G1555" s="40">
        <f t="shared" si="25"/>
        <v>47751</v>
      </c>
    </row>
    <row r="1556" spans="7:7" x14ac:dyDescent="0.35">
      <c r="G1556" s="40">
        <f t="shared" si="25"/>
        <v>47752</v>
      </c>
    </row>
    <row r="1557" spans="7:7" x14ac:dyDescent="0.35">
      <c r="G1557" s="40">
        <f t="shared" si="25"/>
        <v>47753</v>
      </c>
    </row>
    <row r="1558" spans="7:7" x14ac:dyDescent="0.35">
      <c r="G1558" s="40">
        <f t="shared" si="25"/>
        <v>47754</v>
      </c>
    </row>
    <row r="1559" spans="7:7" x14ac:dyDescent="0.35">
      <c r="G1559" s="40">
        <f t="shared" si="25"/>
        <v>47755</v>
      </c>
    </row>
    <row r="1560" spans="7:7" x14ac:dyDescent="0.35">
      <c r="G1560" s="40">
        <f t="shared" si="25"/>
        <v>47756</v>
      </c>
    </row>
    <row r="1561" spans="7:7" x14ac:dyDescent="0.35">
      <c r="G1561" s="40">
        <f t="shared" si="25"/>
        <v>47757</v>
      </c>
    </row>
    <row r="1562" spans="7:7" x14ac:dyDescent="0.35">
      <c r="G1562" s="40">
        <f t="shared" si="25"/>
        <v>47758</v>
      </c>
    </row>
    <row r="1563" spans="7:7" x14ac:dyDescent="0.35">
      <c r="G1563" s="40">
        <f t="shared" si="25"/>
        <v>47759</v>
      </c>
    </row>
    <row r="1564" spans="7:7" x14ac:dyDescent="0.35">
      <c r="G1564" s="40">
        <f t="shared" si="25"/>
        <v>47760</v>
      </c>
    </row>
    <row r="1565" spans="7:7" x14ac:dyDescent="0.35">
      <c r="G1565" s="40">
        <f t="shared" si="25"/>
        <v>47761</v>
      </c>
    </row>
    <row r="1566" spans="7:7" x14ac:dyDescent="0.35">
      <c r="G1566" s="40">
        <f t="shared" si="25"/>
        <v>47762</v>
      </c>
    </row>
    <row r="1567" spans="7:7" x14ac:dyDescent="0.35">
      <c r="G1567" s="40">
        <f t="shared" si="25"/>
        <v>47763</v>
      </c>
    </row>
    <row r="1568" spans="7:7" x14ac:dyDescent="0.35">
      <c r="G1568" s="40">
        <f t="shared" si="25"/>
        <v>47764</v>
      </c>
    </row>
    <row r="1569" spans="7:7" x14ac:dyDescent="0.35">
      <c r="G1569" s="40">
        <f t="shared" si="25"/>
        <v>47765</v>
      </c>
    </row>
    <row r="1570" spans="7:7" x14ac:dyDescent="0.35">
      <c r="G1570" s="40">
        <f t="shared" si="25"/>
        <v>47766</v>
      </c>
    </row>
    <row r="1571" spans="7:7" x14ac:dyDescent="0.35">
      <c r="G1571" s="40">
        <f t="shared" si="25"/>
        <v>47767</v>
      </c>
    </row>
    <row r="1572" spans="7:7" x14ac:dyDescent="0.35">
      <c r="G1572" s="40">
        <f t="shared" si="25"/>
        <v>47768</v>
      </c>
    </row>
    <row r="1573" spans="7:7" x14ac:dyDescent="0.35">
      <c r="G1573" s="40">
        <f t="shared" si="25"/>
        <v>47769</v>
      </c>
    </row>
    <row r="1574" spans="7:7" x14ac:dyDescent="0.35">
      <c r="G1574" s="40">
        <f t="shared" si="25"/>
        <v>47770</v>
      </c>
    </row>
    <row r="1575" spans="7:7" x14ac:dyDescent="0.35">
      <c r="G1575" s="40">
        <f t="shared" si="25"/>
        <v>47771</v>
      </c>
    </row>
    <row r="1576" spans="7:7" x14ac:dyDescent="0.35">
      <c r="G1576" s="40">
        <f t="shared" si="25"/>
        <v>47772</v>
      </c>
    </row>
    <row r="1577" spans="7:7" x14ac:dyDescent="0.35">
      <c r="G1577" s="40">
        <f t="shared" si="25"/>
        <v>47773</v>
      </c>
    </row>
    <row r="1578" spans="7:7" x14ac:dyDescent="0.35">
      <c r="G1578" s="40">
        <f t="shared" si="25"/>
        <v>47774</v>
      </c>
    </row>
    <row r="1579" spans="7:7" x14ac:dyDescent="0.35">
      <c r="G1579" s="40">
        <f t="shared" si="25"/>
        <v>47775</v>
      </c>
    </row>
    <row r="1580" spans="7:7" x14ac:dyDescent="0.35">
      <c r="G1580" s="40">
        <f t="shared" si="25"/>
        <v>47776</v>
      </c>
    </row>
    <row r="1581" spans="7:7" x14ac:dyDescent="0.35">
      <c r="G1581" s="40">
        <f t="shared" si="25"/>
        <v>47777</v>
      </c>
    </row>
    <row r="1582" spans="7:7" x14ac:dyDescent="0.35">
      <c r="G1582" s="40">
        <f t="shared" si="25"/>
        <v>47778</v>
      </c>
    </row>
    <row r="1583" spans="7:7" x14ac:dyDescent="0.35">
      <c r="G1583" s="40">
        <f t="shared" si="25"/>
        <v>47779</v>
      </c>
    </row>
    <row r="1584" spans="7:7" x14ac:dyDescent="0.35">
      <c r="G1584" s="40">
        <f t="shared" si="25"/>
        <v>47780</v>
      </c>
    </row>
    <row r="1585" spans="7:7" x14ac:dyDescent="0.35">
      <c r="G1585" s="40">
        <f t="shared" si="25"/>
        <v>47781</v>
      </c>
    </row>
    <row r="1586" spans="7:7" x14ac:dyDescent="0.35">
      <c r="G1586" s="40">
        <f t="shared" si="25"/>
        <v>47782</v>
      </c>
    </row>
    <row r="1587" spans="7:7" x14ac:dyDescent="0.35">
      <c r="G1587" s="40">
        <f t="shared" si="25"/>
        <v>47783</v>
      </c>
    </row>
    <row r="1588" spans="7:7" x14ac:dyDescent="0.35">
      <c r="G1588" s="40">
        <f t="shared" si="25"/>
        <v>47784</v>
      </c>
    </row>
    <row r="1589" spans="7:7" x14ac:dyDescent="0.35">
      <c r="G1589" s="40">
        <f t="shared" si="25"/>
        <v>47785</v>
      </c>
    </row>
    <row r="1590" spans="7:7" x14ac:dyDescent="0.35">
      <c r="G1590" s="40">
        <f t="shared" si="25"/>
        <v>47786</v>
      </c>
    </row>
    <row r="1591" spans="7:7" x14ac:dyDescent="0.35">
      <c r="G1591" s="40">
        <f t="shared" si="25"/>
        <v>47787</v>
      </c>
    </row>
    <row r="1592" spans="7:7" x14ac:dyDescent="0.35">
      <c r="G1592" s="40">
        <f t="shared" si="25"/>
        <v>47788</v>
      </c>
    </row>
    <row r="1593" spans="7:7" x14ac:dyDescent="0.35">
      <c r="G1593" s="40">
        <f t="shared" si="25"/>
        <v>47789</v>
      </c>
    </row>
    <row r="1594" spans="7:7" x14ac:dyDescent="0.35">
      <c r="G1594" s="40">
        <f t="shared" si="25"/>
        <v>47790</v>
      </c>
    </row>
    <row r="1595" spans="7:7" x14ac:dyDescent="0.35">
      <c r="G1595" s="40">
        <f t="shared" si="25"/>
        <v>47791</v>
      </c>
    </row>
    <row r="1596" spans="7:7" x14ac:dyDescent="0.35">
      <c r="G1596" s="40">
        <f t="shared" si="25"/>
        <v>47792</v>
      </c>
    </row>
    <row r="1597" spans="7:7" x14ac:dyDescent="0.35">
      <c r="G1597" s="40">
        <f t="shared" si="25"/>
        <v>47793</v>
      </c>
    </row>
    <row r="1598" spans="7:7" x14ac:dyDescent="0.35">
      <c r="G1598" s="40">
        <f t="shared" si="25"/>
        <v>47794</v>
      </c>
    </row>
    <row r="1599" spans="7:7" x14ac:dyDescent="0.35">
      <c r="G1599" s="40">
        <f t="shared" si="25"/>
        <v>47795</v>
      </c>
    </row>
    <row r="1600" spans="7:7" x14ac:dyDescent="0.35">
      <c r="G1600" s="40">
        <f t="shared" si="25"/>
        <v>47796</v>
      </c>
    </row>
    <row r="1601" spans="7:7" x14ac:dyDescent="0.35">
      <c r="G1601" s="40">
        <f t="shared" si="25"/>
        <v>47797</v>
      </c>
    </row>
    <row r="1602" spans="7:7" x14ac:dyDescent="0.35">
      <c r="G1602" s="40">
        <f t="shared" si="25"/>
        <v>47798</v>
      </c>
    </row>
    <row r="1603" spans="7:7" x14ac:dyDescent="0.35">
      <c r="G1603" s="40">
        <f t="shared" si="25"/>
        <v>47799</v>
      </c>
    </row>
    <row r="1604" spans="7:7" x14ac:dyDescent="0.35">
      <c r="G1604" s="40">
        <f t="shared" si="25"/>
        <v>47800</v>
      </c>
    </row>
    <row r="1605" spans="7:7" x14ac:dyDescent="0.35">
      <c r="G1605" s="40">
        <f t="shared" ref="G1605:G1668" si="26">G1604+1</f>
        <v>47801</v>
      </c>
    </row>
    <row r="1606" spans="7:7" x14ac:dyDescent="0.35">
      <c r="G1606" s="40">
        <f t="shared" si="26"/>
        <v>47802</v>
      </c>
    </row>
    <row r="1607" spans="7:7" x14ac:dyDescent="0.35">
      <c r="G1607" s="40">
        <f t="shared" si="26"/>
        <v>47803</v>
      </c>
    </row>
    <row r="1608" spans="7:7" x14ac:dyDescent="0.35">
      <c r="G1608" s="40">
        <f t="shared" si="26"/>
        <v>47804</v>
      </c>
    </row>
    <row r="1609" spans="7:7" x14ac:dyDescent="0.35">
      <c r="G1609" s="40">
        <f t="shared" si="26"/>
        <v>47805</v>
      </c>
    </row>
    <row r="1610" spans="7:7" x14ac:dyDescent="0.35">
      <c r="G1610" s="40">
        <f t="shared" si="26"/>
        <v>47806</v>
      </c>
    </row>
    <row r="1611" spans="7:7" x14ac:dyDescent="0.35">
      <c r="G1611" s="40">
        <f t="shared" si="26"/>
        <v>47807</v>
      </c>
    </row>
    <row r="1612" spans="7:7" x14ac:dyDescent="0.35">
      <c r="G1612" s="40">
        <f t="shared" si="26"/>
        <v>47808</v>
      </c>
    </row>
    <row r="1613" spans="7:7" x14ac:dyDescent="0.35">
      <c r="G1613" s="40">
        <f t="shared" si="26"/>
        <v>47809</v>
      </c>
    </row>
    <row r="1614" spans="7:7" x14ac:dyDescent="0.35">
      <c r="G1614" s="40">
        <f t="shared" si="26"/>
        <v>47810</v>
      </c>
    </row>
    <row r="1615" spans="7:7" x14ac:dyDescent="0.35">
      <c r="G1615" s="40">
        <f t="shared" si="26"/>
        <v>47811</v>
      </c>
    </row>
    <row r="1616" spans="7:7" x14ac:dyDescent="0.35">
      <c r="G1616" s="40">
        <f t="shared" si="26"/>
        <v>47812</v>
      </c>
    </row>
    <row r="1617" spans="7:7" x14ac:dyDescent="0.35">
      <c r="G1617" s="40">
        <f t="shared" si="26"/>
        <v>47813</v>
      </c>
    </row>
    <row r="1618" spans="7:7" x14ac:dyDescent="0.35">
      <c r="G1618" s="40">
        <f t="shared" si="26"/>
        <v>47814</v>
      </c>
    </row>
    <row r="1619" spans="7:7" x14ac:dyDescent="0.35">
      <c r="G1619" s="40">
        <f t="shared" si="26"/>
        <v>47815</v>
      </c>
    </row>
    <row r="1620" spans="7:7" x14ac:dyDescent="0.35">
      <c r="G1620" s="40">
        <f t="shared" si="26"/>
        <v>47816</v>
      </c>
    </row>
    <row r="1621" spans="7:7" x14ac:dyDescent="0.35">
      <c r="G1621" s="40">
        <f t="shared" si="26"/>
        <v>47817</v>
      </c>
    </row>
    <row r="1622" spans="7:7" x14ac:dyDescent="0.35">
      <c r="G1622" s="40">
        <f t="shared" si="26"/>
        <v>47818</v>
      </c>
    </row>
    <row r="1623" spans="7:7" x14ac:dyDescent="0.35">
      <c r="G1623" s="40">
        <f t="shared" si="26"/>
        <v>47819</v>
      </c>
    </row>
    <row r="1624" spans="7:7" x14ac:dyDescent="0.35">
      <c r="G1624" s="40">
        <f t="shared" si="26"/>
        <v>47820</v>
      </c>
    </row>
    <row r="1625" spans="7:7" x14ac:dyDescent="0.35">
      <c r="G1625" s="40">
        <f t="shared" si="26"/>
        <v>47821</v>
      </c>
    </row>
    <row r="1626" spans="7:7" x14ac:dyDescent="0.35">
      <c r="G1626" s="40">
        <f t="shared" si="26"/>
        <v>47822</v>
      </c>
    </row>
    <row r="1627" spans="7:7" x14ac:dyDescent="0.35">
      <c r="G1627" s="40">
        <f t="shared" si="26"/>
        <v>47823</v>
      </c>
    </row>
    <row r="1628" spans="7:7" x14ac:dyDescent="0.35">
      <c r="G1628" s="40">
        <f t="shared" si="26"/>
        <v>47824</v>
      </c>
    </row>
    <row r="1629" spans="7:7" x14ac:dyDescent="0.35">
      <c r="G1629" s="40">
        <f t="shared" si="26"/>
        <v>47825</v>
      </c>
    </row>
    <row r="1630" spans="7:7" x14ac:dyDescent="0.35">
      <c r="G1630" s="40">
        <f t="shared" si="26"/>
        <v>47826</v>
      </c>
    </row>
    <row r="1631" spans="7:7" x14ac:dyDescent="0.35">
      <c r="G1631" s="40">
        <f t="shared" si="26"/>
        <v>47827</v>
      </c>
    </row>
    <row r="1632" spans="7:7" x14ac:dyDescent="0.35">
      <c r="G1632" s="40">
        <f t="shared" si="26"/>
        <v>47828</v>
      </c>
    </row>
    <row r="1633" spans="7:7" x14ac:dyDescent="0.35">
      <c r="G1633" s="40">
        <f t="shared" si="26"/>
        <v>47829</v>
      </c>
    </row>
    <row r="1634" spans="7:7" x14ac:dyDescent="0.35">
      <c r="G1634" s="40">
        <f t="shared" si="26"/>
        <v>47830</v>
      </c>
    </row>
    <row r="1635" spans="7:7" x14ac:dyDescent="0.35">
      <c r="G1635" s="40">
        <f t="shared" si="26"/>
        <v>47831</v>
      </c>
    </row>
    <row r="1636" spans="7:7" x14ac:dyDescent="0.35">
      <c r="G1636" s="40">
        <f t="shared" si="26"/>
        <v>47832</v>
      </c>
    </row>
    <row r="1637" spans="7:7" x14ac:dyDescent="0.35">
      <c r="G1637" s="40">
        <f t="shared" si="26"/>
        <v>47833</v>
      </c>
    </row>
    <row r="1638" spans="7:7" x14ac:dyDescent="0.35">
      <c r="G1638" s="40">
        <f t="shared" si="26"/>
        <v>47834</v>
      </c>
    </row>
    <row r="1639" spans="7:7" x14ac:dyDescent="0.35">
      <c r="G1639" s="40">
        <f t="shared" si="26"/>
        <v>47835</v>
      </c>
    </row>
    <row r="1640" spans="7:7" x14ac:dyDescent="0.35">
      <c r="G1640" s="40">
        <f t="shared" si="26"/>
        <v>47836</v>
      </c>
    </row>
    <row r="1641" spans="7:7" x14ac:dyDescent="0.35">
      <c r="G1641" s="40">
        <f t="shared" si="26"/>
        <v>47837</v>
      </c>
    </row>
    <row r="1642" spans="7:7" x14ac:dyDescent="0.35">
      <c r="G1642" s="40">
        <f t="shared" si="26"/>
        <v>47838</v>
      </c>
    </row>
    <row r="1643" spans="7:7" x14ac:dyDescent="0.35">
      <c r="G1643" s="40">
        <f t="shared" si="26"/>
        <v>47839</v>
      </c>
    </row>
    <row r="1644" spans="7:7" x14ac:dyDescent="0.35">
      <c r="G1644" s="40">
        <f t="shared" si="26"/>
        <v>47840</v>
      </c>
    </row>
    <row r="1645" spans="7:7" x14ac:dyDescent="0.35">
      <c r="G1645" s="40">
        <f t="shared" si="26"/>
        <v>47841</v>
      </c>
    </row>
    <row r="1646" spans="7:7" x14ac:dyDescent="0.35">
      <c r="G1646" s="40">
        <f t="shared" si="26"/>
        <v>47842</v>
      </c>
    </row>
    <row r="1647" spans="7:7" x14ac:dyDescent="0.35">
      <c r="G1647" s="40">
        <f t="shared" si="26"/>
        <v>47843</v>
      </c>
    </row>
    <row r="1648" spans="7:7" x14ac:dyDescent="0.35">
      <c r="G1648" s="40">
        <f t="shared" si="26"/>
        <v>47844</v>
      </c>
    </row>
    <row r="1649" spans="7:7" x14ac:dyDescent="0.35">
      <c r="G1649" s="40">
        <f t="shared" si="26"/>
        <v>47845</v>
      </c>
    </row>
    <row r="1650" spans="7:7" x14ac:dyDescent="0.35">
      <c r="G1650" s="40">
        <f t="shared" si="26"/>
        <v>47846</v>
      </c>
    </row>
    <row r="1651" spans="7:7" x14ac:dyDescent="0.35">
      <c r="G1651" s="40">
        <f t="shared" si="26"/>
        <v>47847</v>
      </c>
    </row>
    <row r="1652" spans="7:7" x14ac:dyDescent="0.35">
      <c r="G1652" s="40">
        <f t="shared" si="26"/>
        <v>47848</v>
      </c>
    </row>
    <row r="1653" spans="7:7" x14ac:dyDescent="0.35">
      <c r="G1653" s="40">
        <f t="shared" si="26"/>
        <v>47849</v>
      </c>
    </row>
    <row r="1654" spans="7:7" x14ac:dyDescent="0.35">
      <c r="G1654" s="40">
        <f t="shared" si="26"/>
        <v>47850</v>
      </c>
    </row>
    <row r="1655" spans="7:7" x14ac:dyDescent="0.35">
      <c r="G1655" s="40">
        <f t="shared" si="26"/>
        <v>47851</v>
      </c>
    </row>
    <row r="1656" spans="7:7" x14ac:dyDescent="0.35">
      <c r="G1656" s="40">
        <f t="shared" si="26"/>
        <v>47852</v>
      </c>
    </row>
    <row r="1657" spans="7:7" x14ac:dyDescent="0.35">
      <c r="G1657" s="40">
        <f t="shared" si="26"/>
        <v>47853</v>
      </c>
    </row>
    <row r="1658" spans="7:7" x14ac:dyDescent="0.35">
      <c r="G1658" s="40">
        <f t="shared" si="26"/>
        <v>47854</v>
      </c>
    </row>
    <row r="1659" spans="7:7" x14ac:dyDescent="0.35">
      <c r="G1659" s="40">
        <f t="shared" si="26"/>
        <v>47855</v>
      </c>
    </row>
    <row r="1660" spans="7:7" x14ac:dyDescent="0.35">
      <c r="G1660" s="40">
        <f t="shared" si="26"/>
        <v>47856</v>
      </c>
    </row>
    <row r="1661" spans="7:7" x14ac:dyDescent="0.35">
      <c r="G1661" s="40">
        <f t="shared" si="26"/>
        <v>47857</v>
      </c>
    </row>
    <row r="1662" spans="7:7" x14ac:dyDescent="0.35">
      <c r="G1662" s="40">
        <f t="shared" si="26"/>
        <v>47858</v>
      </c>
    </row>
    <row r="1663" spans="7:7" x14ac:dyDescent="0.35">
      <c r="G1663" s="40">
        <f t="shared" si="26"/>
        <v>47859</v>
      </c>
    </row>
    <row r="1664" spans="7:7" x14ac:dyDescent="0.35">
      <c r="G1664" s="40">
        <f t="shared" si="26"/>
        <v>47860</v>
      </c>
    </row>
    <row r="1665" spans="7:7" x14ac:dyDescent="0.35">
      <c r="G1665" s="40">
        <f t="shared" si="26"/>
        <v>47861</v>
      </c>
    </row>
    <row r="1666" spans="7:7" x14ac:dyDescent="0.35">
      <c r="G1666" s="40">
        <f t="shared" si="26"/>
        <v>47862</v>
      </c>
    </row>
    <row r="1667" spans="7:7" x14ac:dyDescent="0.35">
      <c r="G1667" s="40">
        <f t="shared" si="26"/>
        <v>47863</v>
      </c>
    </row>
    <row r="1668" spans="7:7" x14ac:dyDescent="0.35">
      <c r="G1668" s="40">
        <f t="shared" si="26"/>
        <v>47864</v>
      </c>
    </row>
    <row r="1669" spans="7:7" x14ac:dyDescent="0.35">
      <c r="G1669" s="40">
        <f t="shared" ref="G1669:G1732" si="27">G1668+1</f>
        <v>47865</v>
      </c>
    </row>
    <row r="1670" spans="7:7" x14ac:dyDescent="0.35">
      <c r="G1670" s="40">
        <f t="shared" si="27"/>
        <v>47866</v>
      </c>
    </row>
    <row r="1671" spans="7:7" x14ac:dyDescent="0.35">
      <c r="G1671" s="40">
        <f t="shared" si="27"/>
        <v>47867</v>
      </c>
    </row>
    <row r="1672" spans="7:7" x14ac:dyDescent="0.35">
      <c r="G1672" s="40">
        <f t="shared" si="27"/>
        <v>47868</v>
      </c>
    </row>
    <row r="1673" spans="7:7" x14ac:dyDescent="0.35">
      <c r="G1673" s="40">
        <f t="shared" si="27"/>
        <v>47869</v>
      </c>
    </row>
    <row r="1674" spans="7:7" x14ac:dyDescent="0.35">
      <c r="G1674" s="40">
        <f t="shared" si="27"/>
        <v>47870</v>
      </c>
    </row>
    <row r="1675" spans="7:7" x14ac:dyDescent="0.35">
      <c r="G1675" s="40">
        <f t="shared" si="27"/>
        <v>47871</v>
      </c>
    </row>
    <row r="1676" spans="7:7" x14ac:dyDescent="0.35">
      <c r="G1676" s="40">
        <f t="shared" si="27"/>
        <v>47872</v>
      </c>
    </row>
    <row r="1677" spans="7:7" x14ac:dyDescent="0.35">
      <c r="G1677" s="40">
        <f t="shared" si="27"/>
        <v>47873</v>
      </c>
    </row>
    <row r="1678" spans="7:7" x14ac:dyDescent="0.35">
      <c r="G1678" s="40">
        <f t="shared" si="27"/>
        <v>47874</v>
      </c>
    </row>
    <row r="1679" spans="7:7" x14ac:dyDescent="0.35">
      <c r="G1679" s="40">
        <f t="shared" si="27"/>
        <v>47875</v>
      </c>
    </row>
    <row r="1680" spans="7:7" x14ac:dyDescent="0.35">
      <c r="G1680" s="40">
        <f t="shared" si="27"/>
        <v>47876</v>
      </c>
    </row>
    <row r="1681" spans="7:7" x14ac:dyDescent="0.35">
      <c r="G1681" s="40">
        <f t="shared" si="27"/>
        <v>47877</v>
      </c>
    </row>
    <row r="1682" spans="7:7" x14ac:dyDescent="0.35">
      <c r="G1682" s="40">
        <f t="shared" si="27"/>
        <v>47878</v>
      </c>
    </row>
    <row r="1683" spans="7:7" x14ac:dyDescent="0.35">
      <c r="G1683" s="40">
        <f t="shared" si="27"/>
        <v>47879</v>
      </c>
    </row>
    <row r="1684" spans="7:7" x14ac:dyDescent="0.35">
      <c r="G1684" s="40">
        <f t="shared" si="27"/>
        <v>47880</v>
      </c>
    </row>
    <row r="1685" spans="7:7" x14ac:dyDescent="0.35">
      <c r="G1685" s="40">
        <f t="shared" si="27"/>
        <v>47881</v>
      </c>
    </row>
    <row r="1686" spans="7:7" x14ac:dyDescent="0.35">
      <c r="G1686" s="40">
        <f t="shared" si="27"/>
        <v>47882</v>
      </c>
    </row>
    <row r="1687" spans="7:7" x14ac:dyDescent="0.35">
      <c r="G1687" s="40">
        <f t="shared" si="27"/>
        <v>47883</v>
      </c>
    </row>
    <row r="1688" spans="7:7" x14ac:dyDescent="0.35">
      <c r="G1688" s="40">
        <f t="shared" si="27"/>
        <v>47884</v>
      </c>
    </row>
    <row r="1689" spans="7:7" x14ac:dyDescent="0.35">
      <c r="G1689" s="40">
        <f t="shared" si="27"/>
        <v>47885</v>
      </c>
    </row>
    <row r="1690" spans="7:7" x14ac:dyDescent="0.35">
      <c r="G1690" s="40">
        <f t="shared" si="27"/>
        <v>47886</v>
      </c>
    </row>
    <row r="1691" spans="7:7" x14ac:dyDescent="0.35">
      <c r="G1691" s="40">
        <f t="shared" si="27"/>
        <v>47887</v>
      </c>
    </row>
    <row r="1692" spans="7:7" x14ac:dyDescent="0.35">
      <c r="G1692" s="40">
        <f t="shared" si="27"/>
        <v>47888</v>
      </c>
    </row>
    <row r="1693" spans="7:7" x14ac:dyDescent="0.35">
      <c r="G1693" s="40">
        <f t="shared" si="27"/>
        <v>47889</v>
      </c>
    </row>
    <row r="1694" spans="7:7" x14ac:dyDescent="0.35">
      <c r="G1694" s="40">
        <f t="shared" si="27"/>
        <v>47890</v>
      </c>
    </row>
    <row r="1695" spans="7:7" x14ac:dyDescent="0.35">
      <c r="G1695" s="40">
        <f t="shared" si="27"/>
        <v>47891</v>
      </c>
    </row>
    <row r="1696" spans="7:7" x14ac:dyDescent="0.35">
      <c r="G1696" s="40">
        <f t="shared" si="27"/>
        <v>47892</v>
      </c>
    </row>
    <row r="1697" spans="7:7" x14ac:dyDescent="0.35">
      <c r="G1697" s="40">
        <f t="shared" si="27"/>
        <v>47893</v>
      </c>
    </row>
    <row r="1698" spans="7:7" x14ac:dyDescent="0.35">
      <c r="G1698" s="40">
        <f t="shared" si="27"/>
        <v>47894</v>
      </c>
    </row>
    <row r="1699" spans="7:7" x14ac:dyDescent="0.35">
      <c r="G1699" s="40">
        <f t="shared" si="27"/>
        <v>47895</v>
      </c>
    </row>
    <row r="1700" spans="7:7" x14ac:dyDescent="0.35">
      <c r="G1700" s="40">
        <f t="shared" si="27"/>
        <v>47896</v>
      </c>
    </row>
    <row r="1701" spans="7:7" x14ac:dyDescent="0.35">
      <c r="G1701" s="40">
        <f t="shared" si="27"/>
        <v>47897</v>
      </c>
    </row>
    <row r="1702" spans="7:7" x14ac:dyDescent="0.35">
      <c r="G1702" s="40">
        <f t="shared" si="27"/>
        <v>47898</v>
      </c>
    </row>
    <row r="1703" spans="7:7" x14ac:dyDescent="0.35">
      <c r="G1703" s="40">
        <f t="shared" si="27"/>
        <v>47899</v>
      </c>
    </row>
    <row r="1704" spans="7:7" x14ac:dyDescent="0.35">
      <c r="G1704" s="40">
        <f t="shared" si="27"/>
        <v>47900</v>
      </c>
    </row>
    <row r="1705" spans="7:7" x14ac:dyDescent="0.35">
      <c r="G1705" s="40">
        <f t="shared" si="27"/>
        <v>47901</v>
      </c>
    </row>
    <row r="1706" spans="7:7" x14ac:dyDescent="0.35">
      <c r="G1706" s="40">
        <f t="shared" si="27"/>
        <v>47902</v>
      </c>
    </row>
    <row r="1707" spans="7:7" x14ac:dyDescent="0.35">
      <c r="G1707" s="40">
        <f t="shared" si="27"/>
        <v>47903</v>
      </c>
    </row>
    <row r="1708" spans="7:7" x14ac:dyDescent="0.35">
      <c r="G1708" s="40">
        <f t="shared" si="27"/>
        <v>47904</v>
      </c>
    </row>
    <row r="1709" spans="7:7" x14ac:dyDescent="0.35">
      <c r="G1709" s="40">
        <f t="shared" si="27"/>
        <v>47905</v>
      </c>
    </row>
    <row r="1710" spans="7:7" x14ac:dyDescent="0.35">
      <c r="G1710" s="40">
        <f t="shared" si="27"/>
        <v>47906</v>
      </c>
    </row>
    <row r="1711" spans="7:7" x14ac:dyDescent="0.35">
      <c r="G1711" s="40">
        <f t="shared" si="27"/>
        <v>47907</v>
      </c>
    </row>
    <row r="1712" spans="7:7" x14ac:dyDescent="0.35">
      <c r="G1712" s="40">
        <f t="shared" si="27"/>
        <v>47908</v>
      </c>
    </row>
    <row r="1713" spans="7:7" x14ac:dyDescent="0.35">
      <c r="G1713" s="40">
        <f t="shared" si="27"/>
        <v>47909</v>
      </c>
    </row>
    <row r="1714" spans="7:7" x14ac:dyDescent="0.35">
      <c r="G1714" s="40">
        <f t="shared" si="27"/>
        <v>47910</v>
      </c>
    </row>
    <row r="1715" spans="7:7" x14ac:dyDescent="0.35">
      <c r="G1715" s="40">
        <f t="shared" si="27"/>
        <v>47911</v>
      </c>
    </row>
    <row r="1716" spans="7:7" x14ac:dyDescent="0.35">
      <c r="G1716" s="40">
        <f t="shared" si="27"/>
        <v>47912</v>
      </c>
    </row>
    <row r="1717" spans="7:7" x14ac:dyDescent="0.35">
      <c r="G1717" s="40">
        <f t="shared" si="27"/>
        <v>47913</v>
      </c>
    </row>
    <row r="1718" spans="7:7" x14ac:dyDescent="0.35">
      <c r="G1718" s="40">
        <f t="shared" si="27"/>
        <v>47914</v>
      </c>
    </row>
    <row r="1719" spans="7:7" x14ac:dyDescent="0.35">
      <c r="G1719" s="40">
        <f t="shared" si="27"/>
        <v>47915</v>
      </c>
    </row>
    <row r="1720" spans="7:7" x14ac:dyDescent="0.35">
      <c r="G1720" s="40">
        <f t="shared" si="27"/>
        <v>47916</v>
      </c>
    </row>
    <row r="1721" spans="7:7" x14ac:dyDescent="0.35">
      <c r="G1721" s="40">
        <f t="shared" si="27"/>
        <v>47917</v>
      </c>
    </row>
    <row r="1722" spans="7:7" x14ac:dyDescent="0.35">
      <c r="G1722" s="40">
        <f t="shared" si="27"/>
        <v>47918</v>
      </c>
    </row>
    <row r="1723" spans="7:7" x14ac:dyDescent="0.35">
      <c r="G1723" s="40">
        <f t="shared" si="27"/>
        <v>47919</v>
      </c>
    </row>
    <row r="1724" spans="7:7" x14ac:dyDescent="0.35">
      <c r="G1724" s="40">
        <f t="shared" si="27"/>
        <v>47920</v>
      </c>
    </row>
    <row r="1725" spans="7:7" x14ac:dyDescent="0.35">
      <c r="G1725" s="40">
        <f t="shared" si="27"/>
        <v>47921</v>
      </c>
    </row>
    <row r="1726" spans="7:7" x14ac:dyDescent="0.35">
      <c r="G1726" s="40">
        <f t="shared" si="27"/>
        <v>47922</v>
      </c>
    </row>
    <row r="1727" spans="7:7" x14ac:dyDescent="0.35">
      <c r="G1727" s="40">
        <f t="shared" si="27"/>
        <v>47923</v>
      </c>
    </row>
    <row r="1728" spans="7:7" x14ac:dyDescent="0.35">
      <c r="G1728" s="40">
        <f t="shared" si="27"/>
        <v>47924</v>
      </c>
    </row>
    <row r="1729" spans="7:7" x14ac:dyDescent="0.35">
      <c r="G1729" s="40">
        <f t="shared" si="27"/>
        <v>47925</v>
      </c>
    </row>
    <row r="1730" spans="7:7" x14ac:dyDescent="0.35">
      <c r="G1730" s="40">
        <f t="shared" si="27"/>
        <v>47926</v>
      </c>
    </row>
    <row r="1731" spans="7:7" x14ac:dyDescent="0.35">
      <c r="G1731" s="40">
        <f t="shared" si="27"/>
        <v>47927</v>
      </c>
    </row>
    <row r="1732" spans="7:7" x14ac:dyDescent="0.35">
      <c r="G1732" s="40">
        <f t="shared" si="27"/>
        <v>47928</v>
      </c>
    </row>
    <row r="1733" spans="7:7" x14ac:dyDescent="0.35">
      <c r="G1733" s="40">
        <f t="shared" ref="G1733:G1796" si="28">G1732+1</f>
        <v>47929</v>
      </c>
    </row>
    <row r="1734" spans="7:7" x14ac:dyDescent="0.35">
      <c r="G1734" s="40">
        <f t="shared" si="28"/>
        <v>47930</v>
      </c>
    </row>
    <row r="1735" spans="7:7" x14ac:dyDescent="0.35">
      <c r="G1735" s="40">
        <f t="shared" si="28"/>
        <v>47931</v>
      </c>
    </row>
    <row r="1736" spans="7:7" x14ac:dyDescent="0.35">
      <c r="G1736" s="40">
        <f t="shared" si="28"/>
        <v>47932</v>
      </c>
    </row>
    <row r="1737" spans="7:7" x14ac:dyDescent="0.35">
      <c r="G1737" s="40">
        <f t="shared" si="28"/>
        <v>47933</v>
      </c>
    </row>
    <row r="1738" spans="7:7" x14ac:dyDescent="0.35">
      <c r="G1738" s="40">
        <f t="shared" si="28"/>
        <v>47934</v>
      </c>
    </row>
    <row r="1739" spans="7:7" x14ac:dyDescent="0.35">
      <c r="G1739" s="40">
        <f t="shared" si="28"/>
        <v>47935</v>
      </c>
    </row>
    <row r="1740" spans="7:7" x14ac:dyDescent="0.35">
      <c r="G1740" s="40">
        <f t="shared" si="28"/>
        <v>47936</v>
      </c>
    </row>
    <row r="1741" spans="7:7" x14ac:dyDescent="0.35">
      <c r="G1741" s="40">
        <f t="shared" si="28"/>
        <v>47937</v>
      </c>
    </row>
    <row r="1742" spans="7:7" x14ac:dyDescent="0.35">
      <c r="G1742" s="40">
        <f t="shared" si="28"/>
        <v>47938</v>
      </c>
    </row>
    <row r="1743" spans="7:7" x14ac:dyDescent="0.35">
      <c r="G1743" s="40">
        <f t="shared" si="28"/>
        <v>47939</v>
      </c>
    </row>
    <row r="1744" spans="7:7" x14ac:dyDescent="0.35">
      <c r="G1744" s="40">
        <f t="shared" si="28"/>
        <v>47940</v>
      </c>
    </row>
    <row r="1745" spans="7:7" x14ac:dyDescent="0.35">
      <c r="G1745" s="40">
        <f t="shared" si="28"/>
        <v>47941</v>
      </c>
    </row>
    <row r="1746" spans="7:7" x14ac:dyDescent="0.35">
      <c r="G1746" s="40">
        <f t="shared" si="28"/>
        <v>47942</v>
      </c>
    </row>
    <row r="1747" spans="7:7" x14ac:dyDescent="0.35">
      <c r="G1747" s="40">
        <f t="shared" si="28"/>
        <v>47943</v>
      </c>
    </row>
    <row r="1748" spans="7:7" x14ac:dyDescent="0.35">
      <c r="G1748" s="40">
        <f t="shared" si="28"/>
        <v>47944</v>
      </c>
    </row>
    <row r="1749" spans="7:7" x14ac:dyDescent="0.35">
      <c r="G1749" s="40">
        <f t="shared" si="28"/>
        <v>47945</v>
      </c>
    </row>
    <row r="1750" spans="7:7" x14ac:dyDescent="0.35">
      <c r="G1750" s="40">
        <f t="shared" si="28"/>
        <v>47946</v>
      </c>
    </row>
    <row r="1751" spans="7:7" x14ac:dyDescent="0.35">
      <c r="G1751" s="40">
        <f t="shared" si="28"/>
        <v>47947</v>
      </c>
    </row>
    <row r="1752" spans="7:7" x14ac:dyDescent="0.35">
      <c r="G1752" s="40">
        <f t="shared" si="28"/>
        <v>47948</v>
      </c>
    </row>
    <row r="1753" spans="7:7" x14ac:dyDescent="0.35">
      <c r="G1753" s="40">
        <f t="shared" si="28"/>
        <v>47949</v>
      </c>
    </row>
    <row r="1754" spans="7:7" x14ac:dyDescent="0.35">
      <c r="G1754" s="40">
        <f t="shared" si="28"/>
        <v>47950</v>
      </c>
    </row>
    <row r="1755" spans="7:7" x14ac:dyDescent="0.35">
      <c r="G1755" s="40">
        <f t="shared" si="28"/>
        <v>47951</v>
      </c>
    </row>
    <row r="1756" spans="7:7" x14ac:dyDescent="0.35">
      <c r="G1756" s="40">
        <f t="shared" si="28"/>
        <v>47952</v>
      </c>
    </row>
    <row r="1757" spans="7:7" x14ac:dyDescent="0.35">
      <c r="G1757" s="40">
        <f t="shared" si="28"/>
        <v>47953</v>
      </c>
    </row>
    <row r="1758" spans="7:7" x14ac:dyDescent="0.35">
      <c r="G1758" s="40">
        <f t="shared" si="28"/>
        <v>47954</v>
      </c>
    </row>
    <row r="1759" spans="7:7" x14ac:dyDescent="0.35">
      <c r="G1759" s="40">
        <f t="shared" si="28"/>
        <v>47955</v>
      </c>
    </row>
    <row r="1760" spans="7:7" x14ac:dyDescent="0.35">
      <c r="G1760" s="40">
        <f t="shared" si="28"/>
        <v>47956</v>
      </c>
    </row>
    <row r="1761" spans="7:7" x14ac:dyDescent="0.35">
      <c r="G1761" s="40">
        <f t="shared" si="28"/>
        <v>47957</v>
      </c>
    </row>
    <row r="1762" spans="7:7" x14ac:dyDescent="0.35">
      <c r="G1762" s="40">
        <f t="shared" si="28"/>
        <v>47958</v>
      </c>
    </row>
    <row r="1763" spans="7:7" x14ac:dyDescent="0.35">
      <c r="G1763" s="40">
        <f t="shared" si="28"/>
        <v>47959</v>
      </c>
    </row>
    <row r="1764" spans="7:7" x14ac:dyDescent="0.35">
      <c r="G1764" s="40">
        <f t="shared" si="28"/>
        <v>47960</v>
      </c>
    </row>
    <row r="1765" spans="7:7" x14ac:dyDescent="0.35">
      <c r="G1765" s="40">
        <f t="shared" si="28"/>
        <v>47961</v>
      </c>
    </row>
    <row r="1766" spans="7:7" x14ac:dyDescent="0.35">
      <c r="G1766" s="40">
        <f t="shared" si="28"/>
        <v>47962</v>
      </c>
    </row>
    <row r="1767" spans="7:7" x14ac:dyDescent="0.35">
      <c r="G1767" s="40">
        <f t="shared" si="28"/>
        <v>47963</v>
      </c>
    </row>
    <row r="1768" spans="7:7" x14ac:dyDescent="0.35">
      <c r="G1768" s="40">
        <f t="shared" si="28"/>
        <v>47964</v>
      </c>
    </row>
    <row r="1769" spans="7:7" x14ac:dyDescent="0.35">
      <c r="G1769" s="40">
        <f t="shared" si="28"/>
        <v>47965</v>
      </c>
    </row>
    <row r="1770" spans="7:7" x14ac:dyDescent="0.35">
      <c r="G1770" s="40">
        <f t="shared" si="28"/>
        <v>47966</v>
      </c>
    </row>
    <row r="1771" spans="7:7" x14ac:dyDescent="0.35">
      <c r="G1771" s="40">
        <f t="shared" si="28"/>
        <v>47967</v>
      </c>
    </row>
    <row r="1772" spans="7:7" x14ac:dyDescent="0.35">
      <c r="G1772" s="40">
        <f t="shared" si="28"/>
        <v>47968</v>
      </c>
    </row>
    <row r="1773" spans="7:7" x14ac:dyDescent="0.35">
      <c r="G1773" s="40">
        <f t="shared" si="28"/>
        <v>47969</v>
      </c>
    </row>
    <row r="1774" spans="7:7" x14ac:dyDescent="0.35">
      <c r="G1774" s="40">
        <f t="shared" si="28"/>
        <v>47970</v>
      </c>
    </row>
    <row r="1775" spans="7:7" x14ac:dyDescent="0.35">
      <c r="G1775" s="40">
        <f t="shared" si="28"/>
        <v>47971</v>
      </c>
    </row>
    <row r="1776" spans="7:7" x14ac:dyDescent="0.35">
      <c r="G1776" s="40">
        <f t="shared" si="28"/>
        <v>47972</v>
      </c>
    </row>
    <row r="1777" spans="7:7" x14ac:dyDescent="0.35">
      <c r="G1777" s="40">
        <f t="shared" si="28"/>
        <v>47973</v>
      </c>
    </row>
    <row r="1778" spans="7:7" x14ac:dyDescent="0.35">
      <c r="G1778" s="40">
        <f t="shared" si="28"/>
        <v>47974</v>
      </c>
    </row>
    <row r="1779" spans="7:7" x14ac:dyDescent="0.35">
      <c r="G1779" s="40">
        <f t="shared" si="28"/>
        <v>47975</v>
      </c>
    </row>
    <row r="1780" spans="7:7" x14ac:dyDescent="0.35">
      <c r="G1780" s="40">
        <f t="shared" si="28"/>
        <v>47976</v>
      </c>
    </row>
    <row r="1781" spans="7:7" x14ac:dyDescent="0.35">
      <c r="G1781" s="40">
        <f t="shared" si="28"/>
        <v>47977</v>
      </c>
    </row>
    <row r="1782" spans="7:7" x14ac:dyDescent="0.35">
      <c r="G1782" s="40">
        <f t="shared" si="28"/>
        <v>47978</v>
      </c>
    </row>
    <row r="1783" spans="7:7" x14ac:dyDescent="0.35">
      <c r="G1783" s="40">
        <f t="shared" si="28"/>
        <v>47979</v>
      </c>
    </row>
    <row r="1784" spans="7:7" x14ac:dyDescent="0.35">
      <c r="G1784" s="40">
        <f t="shared" si="28"/>
        <v>47980</v>
      </c>
    </row>
    <row r="1785" spans="7:7" x14ac:dyDescent="0.35">
      <c r="G1785" s="40">
        <f t="shared" si="28"/>
        <v>47981</v>
      </c>
    </row>
    <row r="1786" spans="7:7" x14ac:dyDescent="0.35">
      <c r="G1786" s="40">
        <f t="shared" si="28"/>
        <v>47982</v>
      </c>
    </row>
    <row r="1787" spans="7:7" x14ac:dyDescent="0.35">
      <c r="G1787" s="40">
        <f t="shared" si="28"/>
        <v>47983</v>
      </c>
    </row>
    <row r="1788" spans="7:7" x14ac:dyDescent="0.35">
      <c r="G1788" s="40">
        <f t="shared" si="28"/>
        <v>47984</v>
      </c>
    </row>
    <row r="1789" spans="7:7" x14ac:dyDescent="0.35">
      <c r="G1789" s="40">
        <f t="shared" si="28"/>
        <v>47985</v>
      </c>
    </row>
    <row r="1790" spans="7:7" x14ac:dyDescent="0.35">
      <c r="G1790" s="40">
        <f t="shared" si="28"/>
        <v>47986</v>
      </c>
    </row>
    <row r="1791" spans="7:7" x14ac:dyDescent="0.35">
      <c r="G1791" s="40">
        <f t="shared" si="28"/>
        <v>47987</v>
      </c>
    </row>
    <row r="1792" spans="7:7" x14ac:dyDescent="0.35">
      <c r="G1792" s="40">
        <f t="shared" si="28"/>
        <v>47988</v>
      </c>
    </row>
    <row r="1793" spans="7:7" x14ac:dyDescent="0.35">
      <c r="G1793" s="40">
        <f t="shared" si="28"/>
        <v>47989</v>
      </c>
    </row>
    <row r="1794" spans="7:7" x14ac:dyDescent="0.35">
      <c r="G1794" s="40">
        <f t="shared" si="28"/>
        <v>47990</v>
      </c>
    </row>
    <row r="1795" spans="7:7" x14ac:dyDescent="0.35">
      <c r="G1795" s="40">
        <f t="shared" si="28"/>
        <v>47991</v>
      </c>
    </row>
    <row r="1796" spans="7:7" x14ac:dyDescent="0.35">
      <c r="G1796" s="40">
        <f t="shared" si="28"/>
        <v>47992</v>
      </c>
    </row>
    <row r="1797" spans="7:7" x14ac:dyDescent="0.35">
      <c r="G1797" s="40">
        <f t="shared" ref="G1797:G1860" si="29">G1796+1</f>
        <v>47993</v>
      </c>
    </row>
    <row r="1798" spans="7:7" x14ac:dyDescent="0.35">
      <c r="G1798" s="40">
        <f t="shared" si="29"/>
        <v>47994</v>
      </c>
    </row>
    <row r="1799" spans="7:7" x14ac:dyDescent="0.35">
      <c r="G1799" s="40">
        <f t="shared" si="29"/>
        <v>47995</v>
      </c>
    </row>
    <row r="1800" spans="7:7" x14ac:dyDescent="0.35">
      <c r="G1800" s="40">
        <f t="shared" si="29"/>
        <v>47996</v>
      </c>
    </row>
    <row r="1801" spans="7:7" x14ac:dyDescent="0.35">
      <c r="G1801" s="40">
        <f t="shared" si="29"/>
        <v>47997</v>
      </c>
    </row>
    <row r="1802" spans="7:7" x14ac:dyDescent="0.35">
      <c r="G1802" s="40">
        <f t="shared" si="29"/>
        <v>47998</v>
      </c>
    </row>
    <row r="1803" spans="7:7" x14ac:dyDescent="0.35">
      <c r="G1803" s="40">
        <f t="shared" si="29"/>
        <v>47999</v>
      </c>
    </row>
    <row r="1804" spans="7:7" x14ac:dyDescent="0.35">
      <c r="G1804" s="40">
        <f t="shared" si="29"/>
        <v>48000</v>
      </c>
    </row>
    <row r="1805" spans="7:7" x14ac:dyDescent="0.35">
      <c r="G1805" s="40">
        <f t="shared" si="29"/>
        <v>48001</v>
      </c>
    </row>
    <row r="1806" spans="7:7" x14ac:dyDescent="0.35">
      <c r="G1806" s="40">
        <f t="shared" si="29"/>
        <v>48002</v>
      </c>
    </row>
    <row r="1807" spans="7:7" x14ac:dyDescent="0.35">
      <c r="G1807" s="40">
        <f t="shared" si="29"/>
        <v>48003</v>
      </c>
    </row>
    <row r="1808" spans="7:7" x14ac:dyDescent="0.35">
      <c r="G1808" s="40">
        <f t="shared" si="29"/>
        <v>48004</v>
      </c>
    </row>
    <row r="1809" spans="7:7" x14ac:dyDescent="0.35">
      <c r="G1809" s="40">
        <f t="shared" si="29"/>
        <v>48005</v>
      </c>
    </row>
    <row r="1810" spans="7:7" x14ac:dyDescent="0.35">
      <c r="G1810" s="40">
        <f t="shared" si="29"/>
        <v>48006</v>
      </c>
    </row>
    <row r="1811" spans="7:7" x14ac:dyDescent="0.35">
      <c r="G1811" s="40">
        <f t="shared" si="29"/>
        <v>48007</v>
      </c>
    </row>
    <row r="1812" spans="7:7" x14ac:dyDescent="0.35">
      <c r="G1812" s="40">
        <f t="shared" si="29"/>
        <v>48008</v>
      </c>
    </row>
    <row r="1813" spans="7:7" x14ac:dyDescent="0.35">
      <c r="G1813" s="40">
        <f t="shared" si="29"/>
        <v>48009</v>
      </c>
    </row>
    <row r="1814" spans="7:7" x14ac:dyDescent="0.35">
      <c r="G1814" s="40">
        <f t="shared" si="29"/>
        <v>48010</v>
      </c>
    </row>
    <row r="1815" spans="7:7" x14ac:dyDescent="0.35">
      <c r="G1815" s="40">
        <f t="shared" si="29"/>
        <v>48011</v>
      </c>
    </row>
    <row r="1816" spans="7:7" x14ac:dyDescent="0.35">
      <c r="G1816" s="40">
        <f t="shared" si="29"/>
        <v>48012</v>
      </c>
    </row>
    <row r="1817" spans="7:7" x14ac:dyDescent="0.35">
      <c r="G1817" s="40">
        <f t="shared" si="29"/>
        <v>48013</v>
      </c>
    </row>
    <row r="1818" spans="7:7" x14ac:dyDescent="0.35">
      <c r="G1818" s="40">
        <f t="shared" si="29"/>
        <v>48014</v>
      </c>
    </row>
    <row r="1819" spans="7:7" x14ac:dyDescent="0.35">
      <c r="G1819" s="40">
        <f t="shared" si="29"/>
        <v>48015</v>
      </c>
    </row>
    <row r="1820" spans="7:7" x14ac:dyDescent="0.35">
      <c r="G1820" s="40">
        <f t="shared" si="29"/>
        <v>48016</v>
      </c>
    </row>
    <row r="1821" spans="7:7" x14ac:dyDescent="0.35">
      <c r="G1821" s="40">
        <f t="shared" si="29"/>
        <v>48017</v>
      </c>
    </row>
    <row r="1822" spans="7:7" x14ac:dyDescent="0.35">
      <c r="G1822" s="40">
        <f t="shared" si="29"/>
        <v>48018</v>
      </c>
    </row>
    <row r="1823" spans="7:7" x14ac:dyDescent="0.35">
      <c r="G1823" s="40">
        <f t="shared" si="29"/>
        <v>48019</v>
      </c>
    </row>
    <row r="1824" spans="7:7" x14ac:dyDescent="0.35">
      <c r="G1824" s="40">
        <f t="shared" si="29"/>
        <v>48020</v>
      </c>
    </row>
    <row r="1825" spans="7:7" x14ac:dyDescent="0.35">
      <c r="G1825" s="40">
        <f t="shared" si="29"/>
        <v>48021</v>
      </c>
    </row>
    <row r="1826" spans="7:7" x14ac:dyDescent="0.35">
      <c r="G1826" s="40">
        <f t="shared" si="29"/>
        <v>48022</v>
      </c>
    </row>
    <row r="1827" spans="7:7" x14ac:dyDescent="0.35">
      <c r="G1827" s="40">
        <f t="shared" si="29"/>
        <v>48023</v>
      </c>
    </row>
    <row r="1828" spans="7:7" x14ac:dyDescent="0.35">
      <c r="G1828" s="40">
        <f t="shared" si="29"/>
        <v>48024</v>
      </c>
    </row>
    <row r="1829" spans="7:7" x14ac:dyDescent="0.35">
      <c r="G1829" s="40">
        <f t="shared" si="29"/>
        <v>48025</v>
      </c>
    </row>
    <row r="1830" spans="7:7" x14ac:dyDescent="0.35">
      <c r="G1830" s="40">
        <f t="shared" si="29"/>
        <v>48026</v>
      </c>
    </row>
    <row r="1831" spans="7:7" x14ac:dyDescent="0.35">
      <c r="G1831" s="40">
        <f t="shared" si="29"/>
        <v>48027</v>
      </c>
    </row>
    <row r="1832" spans="7:7" x14ac:dyDescent="0.35">
      <c r="G1832" s="40">
        <f t="shared" si="29"/>
        <v>48028</v>
      </c>
    </row>
    <row r="1833" spans="7:7" x14ac:dyDescent="0.35">
      <c r="G1833" s="40">
        <f t="shared" si="29"/>
        <v>48029</v>
      </c>
    </row>
    <row r="1834" spans="7:7" x14ac:dyDescent="0.35">
      <c r="G1834" s="40">
        <f t="shared" si="29"/>
        <v>48030</v>
      </c>
    </row>
    <row r="1835" spans="7:7" x14ac:dyDescent="0.35">
      <c r="G1835" s="40">
        <f t="shared" si="29"/>
        <v>48031</v>
      </c>
    </row>
    <row r="1836" spans="7:7" x14ac:dyDescent="0.35">
      <c r="G1836" s="40">
        <f t="shared" si="29"/>
        <v>48032</v>
      </c>
    </row>
    <row r="1837" spans="7:7" x14ac:dyDescent="0.35">
      <c r="G1837" s="40">
        <f t="shared" si="29"/>
        <v>48033</v>
      </c>
    </row>
    <row r="1838" spans="7:7" x14ac:dyDescent="0.35">
      <c r="G1838" s="40">
        <f t="shared" si="29"/>
        <v>48034</v>
      </c>
    </row>
    <row r="1839" spans="7:7" x14ac:dyDescent="0.35">
      <c r="G1839" s="40">
        <f t="shared" si="29"/>
        <v>48035</v>
      </c>
    </row>
    <row r="1840" spans="7:7" x14ac:dyDescent="0.35">
      <c r="G1840" s="40">
        <f t="shared" si="29"/>
        <v>48036</v>
      </c>
    </row>
    <row r="1841" spans="7:7" x14ac:dyDescent="0.35">
      <c r="G1841" s="40">
        <f t="shared" si="29"/>
        <v>48037</v>
      </c>
    </row>
    <row r="1842" spans="7:7" x14ac:dyDescent="0.35">
      <c r="G1842" s="40">
        <f t="shared" si="29"/>
        <v>48038</v>
      </c>
    </row>
    <row r="1843" spans="7:7" x14ac:dyDescent="0.35">
      <c r="G1843" s="40">
        <f t="shared" si="29"/>
        <v>48039</v>
      </c>
    </row>
    <row r="1844" spans="7:7" x14ac:dyDescent="0.35">
      <c r="G1844" s="40">
        <f t="shared" si="29"/>
        <v>48040</v>
      </c>
    </row>
    <row r="1845" spans="7:7" x14ac:dyDescent="0.35">
      <c r="G1845" s="40">
        <f t="shared" si="29"/>
        <v>48041</v>
      </c>
    </row>
    <row r="1846" spans="7:7" x14ac:dyDescent="0.35">
      <c r="G1846" s="40">
        <f t="shared" si="29"/>
        <v>48042</v>
      </c>
    </row>
    <row r="1847" spans="7:7" x14ac:dyDescent="0.35">
      <c r="G1847" s="40">
        <f t="shared" si="29"/>
        <v>48043</v>
      </c>
    </row>
    <row r="1848" spans="7:7" x14ac:dyDescent="0.35">
      <c r="G1848" s="40">
        <f t="shared" si="29"/>
        <v>48044</v>
      </c>
    </row>
    <row r="1849" spans="7:7" x14ac:dyDescent="0.35">
      <c r="G1849" s="40">
        <f t="shared" si="29"/>
        <v>48045</v>
      </c>
    </row>
    <row r="1850" spans="7:7" x14ac:dyDescent="0.35">
      <c r="G1850" s="40">
        <f t="shared" si="29"/>
        <v>48046</v>
      </c>
    </row>
    <row r="1851" spans="7:7" x14ac:dyDescent="0.35">
      <c r="G1851" s="40">
        <f t="shared" si="29"/>
        <v>48047</v>
      </c>
    </row>
    <row r="1852" spans="7:7" x14ac:dyDescent="0.35">
      <c r="G1852" s="40">
        <f t="shared" si="29"/>
        <v>48048</v>
      </c>
    </row>
    <row r="1853" spans="7:7" x14ac:dyDescent="0.35">
      <c r="G1853" s="40">
        <f t="shared" si="29"/>
        <v>48049</v>
      </c>
    </row>
    <row r="1854" spans="7:7" x14ac:dyDescent="0.35">
      <c r="G1854" s="40">
        <f t="shared" si="29"/>
        <v>48050</v>
      </c>
    </row>
    <row r="1855" spans="7:7" x14ac:dyDescent="0.35">
      <c r="G1855" s="40">
        <f t="shared" si="29"/>
        <v>48051</v>
      </c>
    </row>
    <row r="1856" spans="7:7" x14ac:dyDescent="0.35">
      <c r="G1856" s="40">
        <f t="shared" si="29"/>
        <v>48052</v>
      </c>
    </row>
    <row r="1857" spans="7:7" x14ac:dyDescent="0.35">
      <c r="G1857" s="40">
        <f t="shared" si="29"/>
        <v>48053</v>
      </c>
    </row>
    <row r="1858" spans="7:7" x14ac:dyDescent="0.35">
      <c r="G1858" s="40">
        <f t="shared" si="29"/>
        <v>48054</v>
      </c>
    </row>
    <row r="1859" spans="7:7" x14ac:dyDescent="0.35">
      <c r="G1859" s="40">
        <f t="shared" si="29"/>
        <v>48055</v>
      </c>
    </row>
    <row r="1860" spans="7:7" x14ac:dyDescent="0.35">
      <c r="G1860" s="40">
        <f t="shared" si="29"/>
        <v>48056</v>
      </c>
    </row>
    <row r="1861" spans="7:7" x14ac:dyDescent="0.35">
      <c r="G1861" s="40">
        <f t="shared" ref="G1861:G1924" si="30">G1860+1</f>
        <v>48057</v>
      </c>
    </row>
    <row r="1862" spans="7:7" x14ac:dyDescent="0.35">
      <c r="G1862" s="40">
        <f t="shared" si="30"/>
        <v>48058</v>
      </c>
    </row>
    <row r="1863" spans="7:7" x14ac:dyDescent="0.35">
      <c r="G1863" s="40">
        <f t="shared" si="30"/>
        <v>48059</v>
      </c>
    </row>
    <row r="1864" spans="7:7" x14ac:dyDescent="0.35">
      <c r="G1864" s="40">
        <f t="shared" si="30"/>
        <v>48060</v>
      </c>
    </row>
    <row r="1865" spans="7:7" x14ac:dyDescent="0.35">
      <c r="G1865" s="40">
        <f t="shared" si="30"/>
        <v>48061</v>
      </c>
    </row>
    <row r="1866" spans="7:7" x14ac:dyDescent="0.35">
      <c r="G1866" s="40">
        <f t="shared" si="30"/>
        <v>48062</v>
      </c>
    </row>
    <row r="1867" spans="7:7" x14ac:dyDescent="0.35">
      <c r="G1867" s="40">
        <f t="shared" si="30"/>
        <v>48063</v>
      </c>
    </row>
    <row r="1868" spans="7:7" x14ac:dyDescent="0.35">
      <c r="G1868" s="40">
        <f t="shared" si="30"/>
        <v>48064</v>
      </c>
    </row>
    <row r="1869" spans="7:7" x14ac:dyDescent="0.35">
      <c r="G1869" s="40">
        <f t="shared" si="30"/>
        <v>48065</v>
      </c>
    </row>
    <row r="1870" spans="7:7" x14ac:dyDescent="0.35">
      <c r="G1870" s="40">
        <f t="shared" si="30"/>
        <v>48066</v>
      </c>
    </row>
    <row r="1871" spans="7:7" x14ac:dyDescent="0.35">
      <c r="G1871" s="40">
        <f t="shared" si="30"/>
        <v>48067</v>
      </c>
    </row>
    <row r="1872" spans="7:7" x14ac:dyDescent="0.35">
      <c r="G1872" s="40">
        <f t="shared" si="30"/>
        <v>48068</v>
      </c>
    </row>
    <row r="1873" spans="7:7" x14ac:dyDescent="0.35">
      <c r="G1873" s="40">
        <f t="shared" si="30"/>
        <v>48069</v>
      </c>
    </row>
    <row r="1874" spans="7:7" x14ac:dyDescent="0.35">
      <c r="G1874" s="40">
        <f t="shared" si="30"/>
        <v>48070</v>
      </c>
    </row>
    <row r="1875" spans="7:7" x14ac:dyDescent="0.35">
      <c r="G1875" s="40">
        <f t="shared" si="30"/>
        <v>48071</v>
      </c>
    </row>
    <row r="1876" spans="7:7" x14ac:dyDescent="0.35">
      <c r="G1876" s="40">
        <f t="shared" si="30"/>
        <v>48072</v>
      </c>
    </row>
    <row r="1877" spans="7:7" x14ac:dyDescent="0.35">
      <c r="G1877" s="40">
        <f t="shared" si="30"/>
        <v>48073</v>
      </c>
    </row>
    <row r="1878" spans="7:7" x14ac:dyDescent="0.35">
      <c r="G1878" s="40">
        <f t="shared" si="30"/>
        <v>48074</v>
      </c>
    </row>
    <row r="1879" spans="7:7" x14ac:dyDescent="0.35">
      <c r="G1879" s="40">
        <f t="shared" si="30"/>
        <v>48075</v>
      </c>
    </row>
    <row r="1880" spans="7:7" x14ac:dyDescent="0.35">
      <c r="G1880" s="40">
        <f t="shared" si="30"/>
        <v>48076</v>
      </c>
    </row>
    <row r="1881" spans="7:7" x14ac:dyDescent="0.35">
      <c r="G1881" s="40">
        <f t="shared" si="30"/>
        <v>48077</v>
      </c>
    </row>
    <row r="1882" spans="7:7" x14ac:dyDescent="0.35">
      <c r="G1882" s="40">
        <f t="shared" si="30"/>
        <v>48078</v>
      </c>
    </row>
    <row r="1883" spans="7:7" x14ac:dyDescent="0.35">
      <c r="G1883" s="40">
        <f t="shared" si="30"/>
        <v>48079</v>
      </c>
    </row>
    <row r="1884" spans="7:7" x14ac:dyDescent="0.35">
      <c r="G1884" s="40">
        <f t="shared" si="30"/>
        <v>48080</v>
      </c>
    </row>
    <row r="1885" spans="7:7" x14ac:dyDescent="0.35">
      <c r="G1885" s="40">
        <f t="shared" si="30"/>
        <v>48081</v>
      </c>
    </row>
    <row r="1886" spans="7:7" x14ac:dyDescent="0.35">
      <c r="G1886" s="40">
        <f t="shared" si="30"/>
        <v>48082</v>
      </c>
    </row>
    <row r="1887" spans="7:7" x14ac:dyDescent="0.35">
      <c r="G1887" s="40">
        <f t="shared" si="30"/>
        <v>48083</v>
      </c>
    </row>
    <row r="1888" spans="7:7" x14ac:dyDescent="0.35">
      <c r="G1888" s="40">
        <f t="shared" si="30"/>
        <v>48084</v>
      </c>
    </row>
    <row r="1889" spans="7:7" x14ac:dyDescent="0.35">
      <c r="G1889" s="40">
        <f t="shared" si="30"/>
        <v>48085</v>
      </c>
    </row>
    <row r="1890" spans="7:7" x14ac:dyDescent="0.35">
      <c r="G1890" s="40">
        <f t="shared" si="30"/>
        <v>48086</v>
      </c>
    </row>
    <row r="1891" spans="7:7" x14ac:dyDescent="0.35">
      <c r="G1891" s="40">
        <f t="shared" si="30"/>
        <v>48087</v>
      </c>
    </row>
    <row r="1892" spans="7:7" x14ac:dyDescent="0.35">
      <c r="G1892" s="40">
        <f t="shared" si="30"/>
        <v>48088</v>
      </c>
    </row>
    <row r="1893" spans="7:7" x14ac:dyDescent="0.35">
      <c r="G1893" s="40">
        <f t="shared" si="30"/>
        <v>48089</v>
      </c>
    </row>
    <row r="1894" spans="7:7" x14ac:dyDescent="0.35">
      <c r="G1894" s="40">
        <f t="shared" si="30"/>
        <v>48090</v>
      </c>
    </row>
    <row r="1895" spans="7:7" x14ac:dyDescent="0.35">
      <c r="G1895" s="40">
        <f t="shared" si="30"/>
        <v>48091</v>
      </c>
    </row>
    <row r="1896" spans="7:7" x14ac:dyDescent="0.35">
      <c r="G1896" s="40">
        <f t="shared" si="30"/>
        <v>48092</v>
      </c>
    </row>
    <row r="1897" spans="7:7" x14ac:dyDescent="0.35">
      <c r="G1897" s="40">
        <f t="shared" si="30"/>
        <v>48093</v>
      </c>
    </row>
    <row r="1898" spans="7:7" x14ac:dyDescent="0.35">
      <c r="G1898" s="40">
        <f t="shared" si="30"/>
        <v>48094</v>
      </c>
    </row>
    <row r="1899" spans="7:7" x14ac:dyDescent="0.35">
      <c r="G1899" s="40">
        <f t="shared" si="30"/>
        <v>48095</v>
      </c>
    </row>
    <row r="1900" spans="7:7" x14ac:dyDescent="0.35">
      <c r="G1900" s="40">
        <f t="shared" si="30"/>
        <v>48096</v>
      </c>
    </row>
    <row r="1901" spans="7:7" x14ac:dyDescent="0.35">
      <c r="G1901" s="40">
        <f t="shared" si="30"/>
        <v>48097</v>
      </c>
    </row>
    <row r="1902" spans="7:7" x14ac:dyDescent="0.35">
      <c r="G1902" s="40">
        <f t="shared" si="30"/>
        <v>48098</v>
      </c>
    </row>
    <row r="1903" spans="7:7" x14ac:dyDescent="0.35">
      <c r="G1903" s="40">
        <f t="shared" si="30"/>
        <v>48099</v>
      </c>
    </row>
    <row r="1904" spans="7:7" x14ac:dyDescent="0.35">
      <c r="G1904" s="40">
        <f t="shared" si="30"/>
        <v>48100</v>
      </c>
    </row>
    <row r="1905" spans="7:7" x14ac:dyDescent="0.35">
      <c r="G1905" s="40">
        <f t="shared" si="30"/>
        <v>48101</v>
      </c>
    </row>
    <row r="1906" spans="7:7" x14ac:dyDescent="0.35">
      <c r="G1906" s="40">
        <f t="shared" si="30"/>
        <v>48102</v>
      </c>
    </row>
    <row r="1907" spans="7:7" x14ac:dyDescent="0.35">
      <c r="G1907" s="40">
        <f t="shared" si="30"/>
        <v>48103</v>
      </c>
    </row>
    <row r="1908" spans="7:7" x14ac:dyDescent="0.35">
      <c r="G1908" s="40">
        <f t="shared" si="30"/>
        <v>48104</v>
      </c>
    </row>
    <row r="1909" spans="7:7" x14ac:dyDescent="0.35">
      <c r="G1909" s="40">
        <f t="shared" si="30"/>
        <v>48105</v>
      </c>
    </row>
    <row r="1910" spans="7:7" x14ac:dyDescent="0.35">
      <c r="G1910" s="40">
        <f t="shared" si="30"/>
        <v>48106</v>
      </c>
    </row>
    <row r="1911" spans="7:7" x14ac:dyDescent="0.35">
      <c r="G1911" s="40">
        <f t="shared" si="30"/>
        <v>48107</v>
      </c>
    </row>
    <row r="1912" spans="7:7" x14ac:dyDescent="0.35">
      <c r="G1912" s="40">
        <f t="shared" si="30"/>
        <v>48108</v>
      </c>
    </row>
    <row r="1913" spans="7:7" x14ac:dyDescent="0.35">
      <c r="G1913" s="40">
        <f t="shared" si="30"/>
        <v>48109</v>
      </c>
    </row>
    <row r="1914" spans="7:7" x14ac:dyDescent="0.35">
      <c r="G1914" s="40">
        <f t="shared" si="30"/>
        <v>48110</v>
      </c>
    </row>
    <row r="1915" spans="7:7" x14ac:dyDescent="0.35">
      <c r="G1915" s="40">
        <f t="shared" si="30"/>
        <v>48111</v>
      </c>
    </row>
    <row r="1916" spans="7:7" x14ac:dyDescent="0.35">
      <c r="G1916" s="40">
        <f t="shared" si="30"/>
        <v>48112</v>
      </c>
    </row>
    <row r="1917" spans="7:7" x14ac:dyDescent="0.35">
      <c r="G1917" s="40">
        <f t="shared" si="30"/>
        <v>48113</v>
      </c>
    </row>
    <row r="1918" spans="7:7" x14ac:dyDescent="0.35">
      <c r="G1918" s="40">
        <f t="shared" si="30"/>
        <v>48114</v>
      </c>
    </row>
    <row r="1919" spans="7:7" x14ac:dyDescent="0.35">
      <c r="G1919" s="40">
        <f t="shared" si="30"/>
        <v>48115</v>
      </c>
    </row>
    <row r="1920" spans="7:7" x14ac:dyDescent="0.35">
      <c r="G1920" s="40">
        <f t="shared" si="30"/>
        <v>48116</v>
      </c>
    </row>
    <row r="1921" spans="7:7" x14ac:dyDescent="0.35">
      <c r="G1921" s="40">
        <f t="shared" si="30"/>
        <v>48117</v>
      </c>
    </row>
    <row r="1922" spans="7:7" x14ac:dyDescent="0.35">
      <c r="G1922" s="40">
        <f t="shared" si="30"/>
        <v>48118</v>
      </c>
    </row>
    <row r="1923" spans="7:7" x14ac:dyDescent="0.35">
      <c r="G1923" s="40">
        <f t="shared" si="30"/>
        <v>48119</v>
      </c>
    </row>
    <row r="1924" spans="7:7" x14ac:dyDescent="0.35">
      <c r="G1924" s="40">
        <f t="shared" si="30"/>
        <v>48120</v>
      </c>
    </row>
    <row r="1925" spans="7:7" x14ac:dyDescent="0.35">
      <c r="G1925" s="40">
        <f t="shared" ref="G1925:G1988" si="31">G1924+1</f>
        <v>48121</v>
      </c>
    </row>
    <row r="1926" spans="7:7" x14ac:dyDescent="0.35">
      <c r="G1926" s="40">
        <f t="shared" si="31"/>
        <v>48122</v>
      </c>
    </row>
    <row r="1927" spans="7:7" x14ac:dyDescent="0.35">
      <c r="G1927" s="40">
        <f t="shared" si="31"/>
        <v>48123</v>
      </c>
    </row>
    <row r="1928" spans="7:7" x14ac:dyDescent="0.35">
      <c r="G1928" s="40">
        <f t="shared" si="31"/>
        <v>48124</v>
      </c>
    </row>
    <row r="1929" spans="7:7" x14ac:dyDescent="0.35">
      <c r="G1929" s="40">
        <f t="shared" si="31"/>
        <v>48125</v>
      </c>
    </row>
    <row r="1930" spans="7:7" x14ac:dyDescent="0.35">
      <c r="G1930" s="40">
        <f t="shared" si="31"/>
        <v>48126</v>
      </c>
    </row>
    <row r="1931" spans="7:7" x14ac:dyDescent="0.35">
      <c r="G1931" s="40">
        <f t="shared" si="31"/>
        <v>48127</v>
      </c>
    </row>
    <row r="1932" spans="7:7" x14ac:dyDescent="0.35">
      <c r="G1932" s="40">
        <f t="shared" si="31"/>
        <v>48128</v>
      </c>
    </row>
    <row r="1933" spans="7:7" x14ac:dyDescent="0.35">
      <c r="G1933" s="40">
        <f t="shared" si="31"/>
        <v>48129</v>
      </c>
    </row>
    <row r="1934" spans="7:7" x14ac:dyDescent="0.35">
      <c r="G1934" s="40">
        <f t="shared" si="31"/>
        <v>48130</v>
      </c>
    </row>
    <row r="1935" spans="7:7" x14ac:dyDescent="0.35">
      <c r="G1935" s="40">
        <f t="shared" si="31"/>
        <v>48131</v>
      </c>
    </row>
    <row r="1936" spans="7:7" x14ac:dyDescent="0.35">
      <c r="G1936" s="40">
        <f t="shared" si="31"/>
        <v>48132</v>
      </c>
    </row>
    <row r="1937" spans="7:7" x14ac:dyDescent="0.35">
      <c r="G1937" s="40">
        <f t="shared" si="31"/>
        <v>48133</v>
      </c>
    </row>
    <row r="1938" spans="7:7" x14ac:dyDescent="0.35">
      <c r="G1938" s="40">
        <f t="shared" si="31"/>
        <v>48134</v>
      </c>
    </row>
    <row r="1939" spans="7:7" x14ac:dyDescent="0.35">
      <c r="G1939" s="40">
        <f t="shared" si="31"/>
        <v>48135</v>
      </c>
    </row>
    <row r="1940" spans="7:7" x14ac:dyDescent="0.35">
      <c r="G1940" s="40">
        <f t="shared" si="31"/>
        <v>48136</v>
      </c>
    </row>
    <row r="1941" spans="7:7" x14ac:dyDescent="0.35">
      <c r="G1941" s="40">
        <f t="shared" si="31"/>
        <v>48137</v>
      </c>
    </row>
    <row r="1942" spans="7:7" x14ac:dyDescent="0.35">
      <c r="G1942" s="40">
        <f t="shared" si="31"/>
        <v>48138</v>
      </c>
    </row>
    <row r="1943" spans="7:7" x14ac:dyDescent="0.35">
      <c r="G1943" s="40">
        <f t="shared" si="31"/>
        <v>48139</v>
      </c>
    </row>
    <row r="1944" spans="7:7" x14ac:dyDescent="0.35">
      <c r="G1944" s="40">
        <f t="shared" si="31"/>
        <v>48140</v>
      </c>
    </row>
    <row r="1945" spans="7:7" x14ac:dyDescent="0.35">
      <c r="G1945" s="40">
        <f t="shared" si="31"/>
        <v>48141</v>
      </c>
    </row>
    <row r="1946" spans="7:7" x14ac:dyDescent="0.35">
      <c r="G1946" s="40">
        <f t="shared" si="31"/>
        <v>48142</v>
      </c>
    </row>
    <row r="1947" spans="7:7" x14ac:dyDescent="0.35">
      <c r="G1947" s="40">
        <f t="shared" si="31"/>
        <v>48143</v>
      </c>
    </row>
    <row r="1948" spans="7:7" x14ac:dyDescent="0.35">
      <c r="G1948" s="40">
        <f t="shared" si="31"/>
        <v>48144</v>
      </c>
    </row>
    <row r="1949" spans="7:7" x14ac:dyDescent="0.35">
      <c r="G1949" s="40">
        <f t="shared" si="31"/>
        <v>48145</v>
      </c>
    </row>
    <row r="1950" spans="7:7" x14ac:dyDescent="0.35">
      <c r="G1950" s="40">
        <f t="shared" si="31"/>
        <v>48146</v>
      </c>
    </row>
    <row r="1951" spans="7:7" x14ac:dyDescent="0.35">
      <c r="G1951" s="40">
        <f t="shared" si="31"/>
        <v>48147</v>
      </c>
    </row>
    <row r="1952" spans="7:7" x14ac:dyDescent="0.35">
      <c r="G1952" s="40">
        <f t="shared" si="31"/>
        <v>48148</v>
      </c>
    </row>
    <row r="1953" spans="7:7" x14ac:dyDescent="0.35">
      <c r="G1953" s="40">
        <f t="shared" si="31"/>
        <v>48149</v>
      </c>
    </row>
    <row r="1954" spans="7:7" x14ac:dyDescent="0.35">
      <c r="G1954" s="40">
        <f t="shared" si="31"/>
        <v>48150</v>
      </c>
    </row>
    <row r="1955" spans="7:7" x14ac:dyDescent="0.35">
      <c r="G1955" s="40">
        <f t="shared" si="31"/>
        <v>48151</v>
      </c>
    </row>
    <row r="1956" spans="7:7" x14ac:dyDescent="0.35">
      <c r="G1956" s="40">
        <f t="shared" si="31"/>
        <v>48152</v>
      </c>
    </row>
    <row r="1957" spans="7:7" x14ac:dyDescent="0.35">
      <c r="G1957" s="40">
        <f t="shared" si="31"/>
        <v>48153</v>
      </c>
    </row>
    <row r="1958" spans="7:7" x14ac:dyDescent="0.35">
      <c r="G1958" s="40">
        <f t="shared" si="31"/>
        <v>48154</v>
      </c>
    </row>
    <row r="1959" spans="7:7" x14ac:dyDescent="0.35">
      <c r="G1959" s="40">
        <f t="shared" si="31"/>
        <v>48155</v>
      </c>
    </row>
    <row r="1960" spans="7:7" x14ac:dyDescent="0.35">
      <c r="G1960" s="40">
        <f t="shared" si="31"/>
        <v>48156</v>
      </c>
    </row>
    <row r="1961" spans="7:7" x14ac:dyDescent="0.35">
      <c r="G1961" s="40">
        <f t="shared" si="31"/>
        <v>48157</v>
      </c>
    </row>
    <row r="1962" spans="7:7" x14ac:dyDescent="0.35">
      <c r="G1962" s="40">
        <f t="shared" si="31"/>
        <v>48158</v>
      </c>
    </row>
    <row r="1963" spans="7:7" x14ac:dyDescent="0.35">
      <c r="G1963" s="40">
        <f t="shared" si="31"/>
        <v>48159</v>
      </c>
    </row>
    <row r="1964" spans="7:7" x14ac:dyDescent="0.35">
      <c r="G1964" s="40">
        <f t="shared" si="31"/>
        <v>48160</v>
      </c>
    </row>
    <row r="1965" spans="7:7" x14ac:dyDescent="0.35">
      <c r="G1965" s="40">
        <f t="shared" si="31"/>
        <v>48161</v>
      </c>
    </row>
    <row r="1966" spans="7:7" x14ac:dyDescent="0.35">
      <c r="G1966" s="40">
        <f t="shared" si="31"/>
        <v>48162</v>
      </c>
    </row>
    <row r="1967" spans="7:7" x14ac:dyDescent="0.35">
      <c r="G1967" s="40">
        <f t="shared" si="31"/>
        <v>48163</v>
      </c>
    </row>
    <row r="1968" spans="7:7" x14ac:dyDescent="0.35">
      <c r="G1968" s="40">
        <f t="shared" si="31"/>
        <v>48164</v>
      </c>
    </row>
    <row r="1969" spans="7:7" x14ac:dyDescent="0.35">
      <c r="G1969" s="40">
        <f t="shared" si="31"/>
        <v>48165</v>
      </c>
    </row>
    <row r="1970" spans="7:7" x14ac:dyDescent="0.35">
      <c r="G1970" s="40">
        <f t="shared" si="31"/>
        <v>48166</v>
      </c>
    </row>
    <row r="1971" spans="7:7" x14ac:dyDescent="0.35">
      <c r="G1971" s="40">
        <f t="shared" si="31"/>
        <v>48167</v>
      </c>
    </row>
    <row r="1972" spans="7:7" x14ac:dyDescent="0.35">
      <c r="G1972" s="40">
        <f t="shared" si="31"/>
        <v>48168</v>
      </c>
    </row>
    <row r="1973" spans="7:7" x14ac:dyDescent="0.35">
      <c r="G1973" s="40">
        <f t="shared" si="31"/>
        <v>48169</v>
      </c>
    </row>
    <row r="1974" spans="7:7" x14ac:dyDescent="0.35">
      <c r="G1974" s="40">
        <f t="shared" si="31"/>
        <v>48170</v>
      </c>
    </row>
    <row r="1975" spans="7:7" x14ac:dyDescent="0.35">
      <c r="G1975" s="40">
        <f t="shared" si="31"/>
        <v>48171</v>
      </c>
    </row>
    <row r="1976" spans="7:7" x14ac:dyDescent="0.35">
      <c r="G1976" s="40">
        <f t="shared" si="31"/>
        <v>48172</v>
      </c>
    </row>
    <row r="1977" spans="7:7" x14ac:dyDescent="0.35">
      <c r="G1977" s="40">
        <f t="shared" si="31"/>
        <v>48173</v>
      </c>
    </row>
    <row r="1978" spans="7:7" x14ac:dyDescent="0.35">
      <c r="G1978" s="40">
        <f t="shared" si="31"/>
        <v>48174</v>
      </c>
    </row>
    <row r="1979" spans="7:7" x14ac:dyDescent="0.35">
      <c r="G1979" s="40">
        <f t="shared" si="31"/>
        <v>48175</v>
      </c>
    </row>
    <row r="1980" spans="7:7" x14ac:dyDescent="0.35">
      <c r="G1980" s="40">
        <f t="shared" si="31"/>
        <v>48176</v>
      </c>
    </row>
    <row r="1981" spans="7:7" x14ac:dyDescent="0.35">
      <c r="G1981" s="40">
        <f t="shared" si="31"/>
        <v>48177</v>
      </c>
    </row>
    <row r="1982" spans="7:7" x14ac:dyDescent="0.35">
      <c r="G1982" s="40">
        <f t="shared" si="31"/>
        <v>48178</v>
      </c>
    </row>
    <row r="1983" spans="7:7" x14ac:dyDescent="0.35">
      <c r="G1983" s="40">
        <f t="shared" si="31"/>
        <v>48179</v>
      </c>
    </row>
    <row r="1984" spans="7:7" x14ac:dyDescent="0.35">
      <c r="G1984" s="40">
        <f t="shared" si="31"/>
        <v>48180</v>
      </c>
    </row>
    <row r="1985" spans="7:7" x14ac:dyDescent="0.35">
      <c r="G1985" s="40">
        <f t="shared" si="31"/>
        <v>48181</v>
      </c>
    </row>
    <row r="1986" spans="7:7" x14ac:dyDescent="0.35">
      <c r="G1986" s="40">
        <f t="shared" si="31"/>
        <v>48182</v>
      </c>
    </row>
    <row r="1987" spans="7:7" x14ac:dyDescent="0.35">
      <c r="G1987" s="40">
        <f t="shared" si="31"/>
        <v>48183</v>
      </c>
    </row>
    <row r="1988" spans="7:7" x14ac:dyDescent="0.35">
      <c r="G1988" s="40">
        <f t="shared" si="31"/>
        <v>48184</v>
      </c>
    </row>
    <row r="1989" spans="7:7" x14ac:dyDescent="0.35">
      <c r="G1989" s="40">
        <f t="shared" ref="G1989:G2052" si="32">G1988+1</f>
        <v>48185</v>
      </c>
    </row>
    <row r="1990" spans="7:7" x14ac:dyDescent="0.35">
      <c r="G1990" s="40">
        <f t="shared" si="32"/>
        <v>48186</v>
      </c>
    </row>
    <row r="1991" spans="7:7" x14ac:dyDescent="0.35">
      <c r="G1991" s="40">
        <f t="shared" si="32"/>
        <v>48187</v>
      </c>
    </row>
    <row r="1992" spans="7:7" x14ac:dyDescent="0.35">
      <c r="G1992" s="40">
        <f t="shared" si="32"/>
        <v>48188</v>
      </c>
    </row>
    <row r="1993" spans="7:7" x14ac:dyDescent="0.35">
      <c r="G1993" s="40">
        <f t="shared" si="32"/>
        <v>48189</v>
      </c>
    </row>
    <row r="1994" spans="7:7" x14ac:dyDescent="0.35">
      <c r="G1994" s="40">
        <f t="shared" si="32"/>
        <v>48190</v>
      </c>
    </row>
    <row r="1995" spans="7:7" x14ac:dyDescent="0.35">
      <c r="G1995" s="40">
        <f t="shared" si="32"/>
        <v>48191</v>
      </c>
    </row>
    <row r="1996" spans="7:7" x14ac:dyDescent="0.35">
      <c r="G1996" s="40">
        <f t="shared" si="32"/>
        <v>48192</v>
      </c>
    </row>
    <row r="1997" spans="7:7" x14ac:dyDescent="0.35">
      <c r="G1997" s="40">
        <f t="shared" si="32"/>
        <v>48193</v>
      </c>
    </row>
    <row r="1998" spans="7:7" x14ac:dyDescent="0.35">
      <c r="G1998" s="40">
        <f t="shared" si="32"/>
        <v>48194</v>
      </c>
    </row>
    <row r="1999" spans="7:7" x14ac:dyDescent="0.35">
      <c r="G1999" s="40">
        <f t="shared" si="32"/>
        <v>48195</v>
      </c>
    </row>
    <row r="2000" spans="7:7" x14ac:dyDescent="0.35">
      <c r="G2000" s="40">
        <f t="shared" si="32"/>
        <v>48196</v>
      </c>
    </row>
    <row r="2001" spans="7:7" x14ac:dyDescent="0.35">
      <c r="G2001" s="40">
        <f t="shared" si="32"/>
        <v>48197</v>
      </c>
    </row>
    <row r="2002" spans="7:7" x14ac:dyDescent="0.35">
      <c r="G2002" s="40">
        <f t="shared" si="32"/>
        <v>48198</v>
      </c>
    </row>
    <row r="2003" spans="7:7" x14ac:dyDescent="0.35">
      <c r="G2003" s="40">
        <f t="shared" si="32"/>
        <v>48199</v>
      </c>
    </row>
    <row r="2004" spans="7:7" x14ac:dyDescent="0.35">
      <c r="G2004" s="40">
        <f t="shared" si="32"/>
        <v>48200</v>
      </c>
    </row>
    <row r="2005" spans="7:7" x14ac:dyDescent="0.35">
      <c r="G2005" s="40">
        <f t="shared" si="32"/>
        <v>48201</v>
      </c>
    </row>
    <row r="2006" spans="7:7" x14ac:dyDescent="0.35">
      <c r="G2006" s="40">
        <f t="shared" si="32"/>
        <v>48202</v>
      </c>
    </row>
    <row r="2007" spans="7:7" x14ac:dyDescent="0.35">
      <c r="G2007" s="40">
        <f t="shared" si="32"/>
        <v>48203</v>
      </c>
    </row>
    <row r="2008" spans="7:7" x14ac:dyDescent="0.35">
      <c r="G2008" s="40">
        <f t="shared" si="32"/>
        <v>48204</v>
      </c>
    </row>
    <row r="2009" spans="7:7" x14ac:dyDescent="0.35">
      <c r="G2009" s="40">
        <f t="shared" si="32"/>
        <v>48205</v>
      </c>
    </row>
    <row r="2010" spans="7:7" x14ac:dyDescent="0.35">
      <c r="G2010" s="40">
        <f t="shared" si="32"/>
        <v>48206</v>
      </c>
    </row>
    <row r="2011" spans="7:7" x14ac:dyDescent="0.35">
      <c r="G2011" s="40">
        <f t="shared" si="32"/>
        <v>48207</v>
      </c>
    </row>
    <row r="2012" spans="7:7" x14ac:dyDescent="0.35">
      <c r="G2012" s="40">
        <f t="shared" si="32"/>
        <v>48208</v>
      </c>
    </row>
    <row r="2013" spans="7:7" x14ac:dyDescent="0.35">
      <c r="G2013" s="40">
        <f t="shared" si="32"/>
        <v>48209</v>
      </c>
    </row>
    <row r="2014" spans="7:7" x14ac:dyDescent="0.35">
      <c r="G2014" s="40">
        <f t="shared" si="32"/>
        <v>48210</v>
      </c>
    </row>
    <row r="2015" spans="7:7" x14ac:dyDescent="0.35">
      <c r="G2015" s="40">
        <f t="shared" si="32"/>
        <v>48211</v>
      </c>
    </row>
    <row r="2016" spans="7:7" x14ac:dyDescent="0.35">
      <c r="G2016" s="40">
        <f t="shared" si="32"/>
        <v>48212</v>
      </c>
    </row>
    <row r="2017" spans="7:7" x14ac:dyDescent="0.35">
      <c r="G2017" s="40">
        <f t="shared" si="32"/>
        <v>48213</v>
      </c>
    </row>
    <row r="2018" spans="7:7" x14ac:dyDescent="0.35">
      <c r="G2018" s="40">
        <f t="shared" si="32"/>
        <v>48214</v>
      </c>
    </row>
    <row r="2019" spans="7:7" x14ac:dyDescent="0.35">
      <c r="G2019" s="40">
        <f t="shared" si="32"/>
        <v>48215</v>
      </c>
    </row>
    <row r="2020" spans="7:7" x14ac:dyDescent="0.35">
      <c r="G2020" s="40">
        <f t="shared" si="32"/>
        <v>48216</v>
      </c>
    </row>
    <row r="2021" spans="7:7" x14ac:dyDescent="0.35">
      <c r="G2021" s="40">
        <f t="shared" si="32"/>
        <v>48217</v>
      </c>
    </row>
    <row r="2022" spans="7:7" x14ac:dyDescent="0.35">
      <c r="G2022" s="40">
        <f t="shared" si="32"/>
        <v>48218</v>
      </c>
    </row>
    <row r="2023" spans="7:7" x14ac:dyDescent="0.35">
      <c r="G2023" s="40">
        <f t="shared" si="32"/>
        <v>48219</v>
      </c>
    </row>
    <row r="2024" spans="7:7" x14ac:dyDescent="0.35">
      <c r="G2024" s="40">
        <f t="shared" si="32"/>
        <v>48220</v>
      </c>
    </row>
    <row r="2025" spans="7:7" x14ac:dyDescent="0.35">
      <c r="G2025" s="40">
        <f t="shared" si="32"/>
        <v>48221</v>
      </c>
    </row>
    <row r="2026" spans="7:7" x14ac:dyDescent="0.35">
      <c r="G2026" s="40">
        <f t="shared" si="32"/>
        <v>48222</v>
      </c>
    </row>
    <row r="2027" spans="7:7" x14ac:dyDescent="0.35">
      <c r="G2027" s="40">
        <f t="shared" si="32"/>
        <v>48223</v>
      </c>
    </row>
    <row r="2028" spans="7:7" x14ac:dyDescent="0.35">
      <c r="G2028" s="40">
        <f t="shared" si="32"/>
        <v>48224</v>
      </c>
    </row>
    <row r="2029" spans="7:7" x14ac:dyDescent="0.35">
      <c r="G2029" s="40">
        <f t="shared" si="32"/>
        <v>48225</v>
      </c>
    </row>
    <row r="2030" spans="7:7" x14ac:dyDescent="0.35">
      <c r="G2030" s="40">
        <f t="shared" si="32"/>
        <v>48226</v>
      </c>
    </row>
    <row r="2031" spans="7:7" x14ac:dyDescent="0.35">
      <c r="G2031" s="40">
        <f t="shared" si="32"/>
        <v>48227</v>
      </c>
    </row>
    <row r="2032" spans="7:7" x14ac:dyDescent="0.35">
      <c r="G2032" s="40">
        <f t="shared" si="32"/>
        <v>48228</v>
      </c>
    </row>
    <row r="2033" spans="7:7" x14ac:dyDescent="0.35">
      <c r="G2033" s="40">
        <f t="shared" si="32"/>
        <v>48229</v>
      </c>
    </row>
    <row r="2034" spans="7:7" x14ac:dyDescent="0.35">
      <c r="G2034" s="40">
        <f t="shared" si="32"/>
        <v>48230</v>
      </c>
    </row>
    <row r="2035" spans="7:7" x14ac:dyDescent="0.35">
      <c r="G2035" s="40">
        <f t="shared" si="32"/>
        <v>48231</v>
      </c>
    </row>
    <row r="2036" spans="7:7" x14ac:dyDescent="0.35">
      <c r="G2036" s="40">
        <f t="shared" si="32"/>
        <v>48232</v>
      </c>
    </row>
    <row r="2037" spans="7:7" x14ac:dyDescent="0.35">
      <c r="G2037" s="40">
        <f t="shared" si="32"/>
        <v>48233</v>
      </c>
    </row>
    <row r="2038" spans="7:7" x14ac:dyDescent="0.35">
      <c r="G2038" s="40">
        <f t="shared" si="32"/>
        <v>48234</v>
      </c>
    </row>
    <row r="2039" spans="7:7" x14ac:dyDescent="0.35">
      <c r="G2039" s="40">
        <f t="shared" si="32"/>
        <v>48235</v>
      </c>
    </row>
    <row r="2040" spans="7:7" x14ac:dyDescent="0.35">
      <c r="G2040" s="40">
        <f t="shared" si="32"/>
        <v>48236</v>
      </c>
    </row>
    <row r="2041" spans="7:7" x14ac:dyDescent="0.35">
      <c r="G2041" s="40">
        <f t="shared" si="32"/>
        <v>48237</v>
      </c>
    </row>
    <row r="2042" spans="7:7" x14ac:dyDescent="0.35">
      <c r="G2042" s="40">
        <f t="shared" si="32"/>
        <v>48238</v>
      </c>
    </row>
    <row r="2043" spans="7:7" x14ac:dyDescent="0.35">
      <c r="G2043" s="40">
        <f t="shared" si="32"/>
        <v>48239</v>
      </c>
    </row>
    <row r="2044" spans="7:7" x14ac:dyDescent="0.35">
      <c r="G2044" s="40">
        <f t="shared" si="32"/>
        <v>48240</v>
      </c>
    </row>
    <row r="2045" spans="7:7" x14ac:dyDescent="0.35">
      <c r="G2045" s="40">
        <f t="shared" si="32"/>
        <v>48241</v>
      </c>
    </row>
    <row r="2046" spans="7:7" x14ac:dyDescent="0.35">
      <c r="G2046" s="40">
        <f t="shared" si="32"/>
        <v>48242</v>
      </c>
    </row>
    <row r="2047" spans="7:7" x14ac:dyDescent="0.35">
      <c r="G2047" s="40">
        <f t="shared" si="32"/>
        <v>48243</v>
      </c>
    </row>
    <row r="2048" spans="7:7" x14ac:dyDescent="0.35">
      <c r="G2048" s="40">
        <f t="shared" si="32"/>
        <v>48244</v>
      </c>
    </row>
    <row r="2049" spans="7:7" x14ac:dyDescent="0.35">
      <c r="G2049" s="40">
        <f t="shared" si="32"/>
        <v>48245</v>
      </c>
    </row>
    <row r="2050" spans="7:7" x14ac:dyDescent="0.35">
      <c r="G2050" s="40">
        <f t="shared" si="32"/>
        <v>48246</v>
      </c>
    </row>
    <row r="2051" spans="7:7" x14ac:dyDescent="0.35">
      <c r="G2051" s="40">
        <f t="shared" si="32"/>
        <v>48247</v>
      </c>
    </row>
    <row r="2052" spans="7:7" x14ac:dyDescent="0.35">
      <c r="G2052" s="40">
        <f t="shared" si="32"/>
        <v>48248</v>
      </c>
    </row>
    <row r="2053" spans="7:7" x14ac:dyDescent="0.35">
      <c r="G2053" s="40">
        <f t="shared" ref="G2053:G2116" si="33">G2052+1</f>
        <v>48249</v>
      </c>
    </row>
    <row r="2054" spans="7:7" x14ac:dyDescent="0.35">
      <c r="G2054" s="40">
        <f t="shared" si="33"/>
        <v>48250</v>
      </c>
    </row>
    <row r="2055" spans="7:7" x14ac:dyDescent="0.35">
      <c r="G2055" s="40">
        <f t="shared" si="33"/>
        <v>48251</v>
      </c>
    </row>
    <row r="2056" spans="7:7" x14ac:dyDescent="0.35">
      <c r="G2056" s="40">
        <f t="shared" si="33"/>
        <v>48252</v>
      </c>
    </row>
    <row r="2057" spans="7:7" x14ac:dyDescent="0.35">
      <c r="G2057" s="40">
        <f t="shared" si="33"/>
        <v>48253</v>
      </c>
    </row>
    <row r="2058" spans="7:7" x14ac:dyDescent="0.35">
      <c r="G2058" s="40">
        <f t="shared" si="33"/>
        <v>48254</v>
      </c>
    </row>
    <row r="2059" spans="7:7" x14ac:dyDescent="0.35">
      <c r="G2059" s="40">
        <f t="shared" si="33"/>
        <v>48255</v>
      </c>
    </row>
    <row r="2060" spans="7:7" x14ac:dyDescent="0.35">
      <c r="G2060" s="40">
        <f t="shared" si="33"/>
        <v>48256</v>
      </c>
    </row>
    <row r="2061" spans="7:7" x14ac:dyDescent="0.35">
      <c r="G2061" s="40">
        <f t="shared" si="33"/>
        <v>48257</v>
      </c>
    </row>
    <row r="2062" spans="7:7" x14ac:dyDescent="0.35">
      <c r="G2062" s="40">
        <f t="shared" si="33"/>
        <v>48258</v>
      </c>
    </row>
    <row r="2063" spans="7:7" x14ac:dyDescent="0.35">
      <c r="G2063" s="40">
        <f t="shared" si="33"/>
        <v>48259</v>
      </c>
    </row>
    <row r="2064" spans="7:7" x14ac:dyDescent="0.35">
      <c r="G2064" s="40">
        <f t="shared" si="33"/>
        <v>48260</v>
      </c>
    </row>
    <row r="2065" spans="7:7" x14ac:dyDescent="0.35">
      <c r="G2065" s="40">
        <f t="shared" si="33"/>
        <v>48261</v>
      </c>
    </row>
    <row r="2066" spans="7:7" x14ac:dyDescent="0.35">
      <c r="G2066" s="40">
        <f t="shared" si="33"/>
        <v>48262</v>
      </c>
    </row>
    <row r="2067" spans="7:7" x14ac:dyDescent="0.35">
      <c r="G2067" s="40">
        <f t="shared" si="33"/>
        <v>48263</v>
      </c>
    </row>
    <row r="2068" spans="7:7" x14ac:dyDescent="0.35">
      <c r="G2068" s="40">
        <f t="shared" si="33"/>
        <v>48264</v>
      </c>
    </row>
    <row r="2069" spans="7:7" x14ac:dyDescent="0.35">
      <c r="G2069" s="40">
        <f t="shared" si="33"/>
        <v>48265</v>
      </c>
    </row>
    <row r="2070" spans="7:7" x14ac:dyDescent="0.35">
      <c r="G2070" s="40">
        <f t="shared" si="33"/>
        <v>48266</v>
      </c>
    </row>
    <row r="2071" spans="7:7" x14ac:dyDescent="0.35">
      <c r="G2071" s="40">
        <f t="shared" si="33"/>
        <v>48267</v>
      </c>
    </row>
    <row r="2072" spans="7:7" x14ac:dyDescent="0.35">
      <c r="G2072" s="40">
        <f t="shared" si="33"/>
        <v>48268</v>
      </c>
    </row>
    <row r="2073" spans="7:7" x14ac:dyDescent="0.35">
      <c r="G2073" s="40">
        <f t="shared" si="33"/>
        <v>48269</v>
      </c>
    </row>
    <row r="2074" spans="7:7" x14ac:dyDescent="0.35">
      <c r="G2074" s="40">
        <f t="shared" si="33"/>
        <v>48270</v>
      </c>
    </row>
    <row r="2075" spans="7:7" x14ac:dyDescent="0.35">
      <c r="G2075" s="40">
        <f t="shared" si="33"/>
        <v>48271</v>
      </c>
    </row>
    <row r="2076" spans="7:7" x14ac:dyDescent="0.35">
      <c r="G2076" s="40">
        <f t="shared" si="33"/>
        <v>48272</v>
      </c>
    </row>
    <row r="2077" spans="7:7" x14ac:dyDescent="0.35">
      <c r="G2077" s="40">
        <f t="shared" si="33"/>
        <v>48273</v>
      </c>
    </row>
    <row r="2078" spans="7:7" x14ac:dyDescent="0.35">
      <c r="G2078" s="40">
        <f t="shared" si="33"/>
        <v>48274</v>
      </c>
    </row>
    <row r="2079" spans="7:7" x14ac:dyDescent="0.35">
      <c r="G2079" s="40">
        <f t="shared" si="33"/>
        <v>48275</v>
      </c>
    </row>
    <row r="2080" spans="7:7" x14ac:dyDescent="0.35">
      <c r="G2080" s="40">
        <f t="shared" si="33"/>
        <v>48276</v>
      </c>
    </row>
    <row r="2081" spans="7:7" x14ac:dyDescent="0.35">
      <c r="G2081" s="40">
        <f t="shared" si="33"/>
        <v>48277</v>
      </c>
    </row>
    <row r="2082" spans="7:7" x14ac:dyDescent="0.35">
      <c r="G2082" s="40">
        <f t="shared" si="33"/>
        <v>48278</v>
      </c>
    </row>
    <row r="2083" spans="7:7" x14ac:dyDescent="0.35">
      <c r="G2083" s="40">
        <f t="shared" si="33"/>
        <v>48279</v>
      </c>
    </row>
    <row r="2084" spans="7:7" x14ac:dyDescent="0.35">
      <c r="G2084" s="40">
        <f t="shared" si="33"/>
        <v>48280</v>
      </c>
    </row>
    <row r="2085" spans="7:7" x14ac:dyDescent="0.35">
      <c r="G2085" s="40">
        <f t="shared" si="33"/>
        <v>48281</v>
      </c>
    </row>
    <row r="2086" spans="7:7" x14ac:dyDescent="0.35">
      <c r="G2086" s="40">
        <f t="shared" si="33"/>
        <v>48282</v>
      </c>
    </row>
    <row r="2087" spans="7:7" x14ac:dyDescent="0.35">
      <c r="G2087" s="40">
        <f t="shared" si="33"/>
        <v>48283</v>
      </c>
    </row>
    <row r="2088" spans="7:7" x14ac:dyDescent="0.35">
      <c r="G2088" s="40">
        <f t="shared" si="33"/>
        <v>48284</v>
      </c>
    </row>
    <row r="2089" spans="7:7" x14ac:dyDescent="0.35">
      <c r="G2089" s="40">
        <f t="shared" si="33"/>
        <v>48285</v>
      </c>
    </row>
    <row r="2090" spans="7:7" x14ac:dyDescent="0.35">
      <c r="G2090" s="40">
        <f t="shared" si="33"/>
        <v>48286</v>
      </c>
    </row>
    <row r="2091" spans="7:7" x14ac:dyDescent="0.35">
      <c r="G2091" s="40">
        <f t="shared" si="33"/>
        <v>48287</v>
      </c>
    </row>
    <row r="2092" spans="7:7" x14ac:dyDescent="0.35">
      <c r="G2092" s="40">
        <f t="shared" si="33"/>
        <v>48288</v>
      </c>
    </row>
    <row r="2093" spans="7:7" x14ac:dyDescent="0.35">
      <c r="G2093" s="40">
        <f t="shared" si="33"/>
        <v>48289</v>
      </c>
    </row>
    <row r="2094" spans="7:7" x14ac:dyDescent="0.35">
      <c r="G2094" s="40">
        <f t="shared" si="33"/>
        <v>48290</v>
      </c>
    </row>
    <row r="2095" spans="7:7" x14ac:dyDescent="0.35">
      <c r="G2095" s="40">
        <f t="shared" si="33"/>
        <v>48291</v>
      </c>
    </row>
    <row r="2096" spans="7:7" x14ac:dyDescent="0.35">
      <c r="G2096" s="40">
        <f t="shared" si="33"/>
        <v>48292</v>
      </c>
    </row>
    <row r="2097" spans="7:7" x14ac:dyDescent="0.35">
      <c r="G2097" s="40">
        <f t="shared" si="33"/>
        <v>48293</v>
      </c>
    </row>
    <row r="2098" spans="7:7" x14ac:dyDescent="0.35">
      <c r="G2098" s="40">
        <f t="shared" si="33"/>
        <v>48294</v>
      </c>
    </row>
    <row r="2099" spans="7:7" x14ac:dyDescent="0.35">
      <c r="G2099" s="40">
        <f t="shared" si="33"/>
        <v>48295</v>
      </c>
    </row>
    <row r="2100" spans="7:7" x14ac:dyDescent="0.35">
      <c r="G2100" s="40">
        <f t="shared" si="33"/>
        <v>48296</v>
      </c>
    </row>
    <row r="2101" spans="7:7" x14ac:dyDescent="0.35">
      <c r="G2101" s="40">
        <f t="shared" si="33"/>
        <v>48297</v>
      </c>
    </row>
    <row r="2102" spans="7:7" x14ac:dyDescent="0.35">
      <c r="G2102" s="40">
        <f t="shared" si="33"/>
        <v>48298</v>
      </c>
    </row>
    <row r="2103" spans="7:7" x14ac:dyDescent="0.35">
      <c r="G2103" s="40">
        <f t="shared" si="33"/>
        <v>48299</v>
      </c>
    </row>
    <row r="2104" spans="7:7" x14ac:dyDescent="0.35">
      <c r="G2104" s="40">
        <f t="shared" si="33"/>
        <v>48300</v>
      </c>
    </row>
    <row r="2105" spans="7:7" x14ac:dyDescent="0.35">
      <c r="G2105" s="40">
        <f t="shared" si="33"/>
        <v>48301</v>
      </c>
    </row>
    <row r="2106" spans="7:7" x14ac:dyDescent="0.35">
      <c r="G2106" s="40">
        <f t="shared" si="33"/>
        <v>48302</v>
      </c>
    </row>
    <row r="2107" spans="7:7" x14ac:dyDescent="0.35">
      <c r="G2107" s="40">
        <f t="shared" si="33"/>
        <v>48303</v>
      </c>
    </row>
    <row r="2108" spans="7:7" x14ac:dyDescent="0.35">
      <c r="G2108" s="40">
        <f t="shared" si="33"/>
        <v>48304</v>
      </c>
    </row>
    <row r="2109" spans="7:7" x14ac:dyDescent="0.35">
      <c r="G2109" s="40">
        <f t="shared" si="33"/>
        <v>48305</v>
      </c>
    </row>
    <row r="2110" spans="7:7" x14ac:dyDescent="0.35">
      <c r="G2110" s="40">
        <f t="shared" si="33"/>
        <v>48306</v>
      </c>
    </row>
    <row r="2111" spans="7:7" x14ac:dyDescent="0.35">
      <c r="G2111" s="40">
        <f t="shared" si="33"/>
        <v>48307</v>
      </c>
    </row>
    <row r="2112" spans="7:7" x14ac:dyDescent="0.35">
      <c r="G2112" s="40">
        <f t="shared" si="33"/>
        <v>48308</v>
      </c>
    </row>
    <row r="2113" spans="7:7" x14ac:dyDescent="0.35">
      <c r="G2113" s="40">
        <f t="shared" si="33"/>
        <v>48309</v>
      </c>
    </row>
    <row r="2114" spans="7:7" x14ac:dyDescent="0.35">
      <c r="G2114" s="40">
        <f t="shared" si="33"/>
        <v>48310</v>
      </c>
    </row>
    <row r="2115" spans="7:7" x14ac:dyDescent="0.35">
      <c r="G2115" s="40">
        <f t="shared" si="33"/>
        <v>48311</v>
      </c>
    </row>
    <row r="2116" spans="7:7" x14ac:dyDescent="0.35">
      <c r="G2116" s="40">
        <f t="shared" si="33"/>
        <v>48312</v>
      </c>
    </row>
    <row r="2117" spans="7:7" x14ac:dyDescent="0.35">
      <c r="G2117" s="40">
        <f t="shared" ref="G2117:G2180" si="34">G2116+1</f>
        <v>48313</v>
      </c>
    </row>
    <row r="2118" spans="7:7" x14ac:dyDescent="0.35">
      <c r="G2118" s="40">
        <f t="shared" si="34"/>
        <v>48314</v>
      </c>
    </row>
    <row r="2119" spans="7:7" x14ac:dyDescent="0.35">
      <c r="G2119" s="40">
        <f t="shared" si="34"/>
        <v>48315</v>
      </c>
    </row>
    <row r="2120" spans="7:7" x14ac:dyDescent="0.35">
      <c r="G2120" s="40">
        <f t="shared" si="34"/>
        <v>48316</v>
      </c>
    </row>
    <row r="2121" spans="7:7" x14ac:dyDescent="0.35">
      <c r="G2121" s="40">
        <f t="shared" si="34"/>
        <v>48317</v>
      </c>
    </row>
    <row r="2122" spans="7:7" x14ac:dyDescent="0.35">
      <c r="G2122" s="40">
        <f t="shared" si="34"/>
        <v>48318</v>
      </c>
    </row>
    <row r="2123" spans="7:7" x14ac:dyDescent="0.35">
      <c r="G2123" s="40">
        <f t="shared" si="34"/>
        <v>48319</v>
      </c>
    </row>
    <row r="2124" spans="7:7" x14ac:dyDescent="0.35">
      <c r="G2124" s="40">
        <f t="shared" si="34"/>
        <v>48320</v>
      </c>
    </row>
    <row r="2125" spans="7:7" x14ac:dyDescent="0.35">
      <c r="G2125" s="40">
        <f t="shared" si="34"/>
        <v>48321</v>
      </c>
    </row>
    <row r="2126" spans="7:7" x14ac:dyDescent="0.35">
      <c r="G2126" s="40">
        <f t="shared" si="34"/>
        <v>48322</v>
      </c>
    </row>
    <row r="2127" spans="7:7" x14ac:dyDescent="0.35">
      <c r="G2127" s="40">
        <f t="shared" si="34"/>
        <v>48323</v>
      </c>
    </row>
    <row r="2128" spans="7:7" x14ac:dyDescent="0.35">
      <c r="G2128" s="40">
        <f t="shared" si="34"/>
        <v>48324</v>
      </c>
    </row>
    <row r="2129" spans="7:7" x14ac:dyDescent="0.35">
      <c r="G2129" s="40">
        <f t="shared" si="34"/>
        <v>48325</v>
      </c>
    </row>
    <row r="2130" spans="7:7" x14ac:dyDescent="0.35">
      <c r="G2130" s="40">
        <f t="shared" si="34"/>
        <v>48326</v>
      </c>
    </row>
    <row r="2131" spans="7:7" x14ac:dyDescent="0.35">
      <c r="G2131" s="40">
        <f t="shared" si="34"/>
        <v>48327</v>
      </c>
    </row>
    <row r="2132" spans="7:7" x14ac:dyDescent="0.35">
      <c r="G2132" s="40">
        <f t="shared" si="34"/>
        <v>48328</v>
      </c>
    </row>
    <row r="2133" spans="7:7" x14ac:dyDescent="0.35">
      <c r="G2133" s="40">
        <f t="shared" si="34"/>
        <v>48329</v>
      </c>
    </row>
    <row r="2134" spans="7:7" x14ac:dyDescent="0.35">
      <c r="G2134" s="40">
        <f t="shared" si="34"/>
        <v>48330</v>
      </c>
    </row>
    <row r="2135" spans="7:7" x14ac:dyDescent="0.35">
      <c r="G2135" s="40">
        <f t="shared" si="34"/>
        <v>48331</v>
      </c>
    </row>
    <row r="2136" spans="7:7" x14ac:dyDescent="0.35">
      <c r="G2136" s="40">
        <f t="shared" si="34"/>
        <v>48332</v>
      </c>
    </row>
    <row r="2137" spans="7:7" x14ac:dyDescent="0.35">
      <c r="G2137" s="40">
        <f t="shared" si="34"/>
        <v>48333</v>
      </c>
    </row>
    <row r="2138" spans="7:7" x14ac:dyDescent="0.35">
      <c r="G2138" s="40">
        <f t="shared" si="34"/>
        <v>48334</v>
      </c>
    </row>
    <row r="2139" spans="7:7" x14ac:dyDescent="0.35">
      <c r="G2139" s="40">
        <f t="shared" si="34"/>
        <v>48335</v>
      </c>
    </row>
    <row r="2140" spans="7:7" x14ac:dyDescent="0.35">
      <c r="G2140" s="40">
        <f t="shared" si="34"/>
        <v>48336</v>
      </c>
    </row>
    <row r="2141" spans="7:7" x14ac:dyDescent="0.35">
      <c r="G2141" s="40">
        <f t="shared" si="34"/>
        <v>48337</v>
      </c>
    </row>
    <row r="2142" spans="7:7" x14ac:dyDescent="0.35">
      <c r="G2142" s="40">
        <f t="shared" si="34"/>
        <v>48338</v>
      </c>
    </row>
    <row r="2143" spans="7:7" x14ac:dyDescent="0.35">
      <c r="G2143" s="40">
        <f t="shared" si="34"/>
        <v>48339</v>
      </c>
    </row>
    <row r="2144" spans="7:7" x14ac:dyDescent="0.35">
      <c r="G2144" s="40">
        <f t="shared" si="34"/>
        <v>48340</v>
      </c>
    </row>
    <row r="2145" spans="7:7" x14ac:dyDescent="0.35">
      <c r="G2145" s="40">
        <f t="shared" si="34"/>
        <v>48341</v>
      </c>
    </row>
    <row r="2146" spans="7:7" x14ac:dyDescent="0.35">
      <c r="G2146" s="40">
        <f t="shared" si="34"/>
        <v>48342</v>
      </c>
    </row>
    <row r="2147" spans="7:7" x14ac:dyDescent="0.35">
      <c r="G2147" s="40">
        <f t="shared" si="34"/>
        <v>48343</v>
      </c>
    </row>
    <row r="2148" spans="7:7" x14ac:dyDescent="0.35">
      <c r="G2148" s="40">
        <f t="shared" si="34"/>
        <v>48344</v>
      </c>
    </row>
    <row r="2149" spans="7:7" x14ac:dyDescent="0.35">
      <c r="G2149" s="40">
        <f t="shared" si="34"/>
        <v>48345</v>
      </c>
    </row>
    <row r="2150" spans="7:7" x14ac:dyDescent="0.35">
      <c r="G2150" s="40">
        <f t="shared" si="34"/>
        <v>48346</v>
      </c>
    </row>
    <row r="2151" spans="7:7" x14ac:dyDescent="0.35">
      <c r="G2151" s="40">
        <f t="shared" si="34"/>
        <v>48347</v>
      </c>
    </row>
    <row r="2152" spans="7:7" x14ac:dyDescent="0.35">
      <c r="G2152" s="40">
        <f t="shared" si="34"/>
        <v>48348</v>
      </c>
    </row>
    <row r="2153" spans="7:7" x14ac:dyDescent="0.35">
      <c r="G2153" s="40">
        <f t="shared" si="34"/>
        <v>48349</v>
      </c>
    </row>
    <row r="2154" spans="7:7" x14ac:dyDescent="0.35">
      <c r="G2154" s="40">
        <f t="shared" si="34"/>
        <v>48350</v>
      </c>
    </row>
    <row r="2155" spans="7:7" x14ac:dyDescent="0.35">
      <c r="G2155" s="40">
        <f t="shared" si="34"/>
        <v>48351</v>
      </c>
    </row>
    <row r="2156" spans="7:7" x14ac:dyDescent="0.35">
      <c r="G2156" s="40">
        <f t="shared" si="34"/>
        <v>48352</v>
      </c>
    </row>
    <row r="2157" spans="7:7" x14ac:dyDescent="0.35">
      <c r="G2157" s="40">
        <f t="shared" si="34"/>
        <v>48353</v>
      </c>
    </row>
    <row r="2158" spans="7:7" x14ac:dyDescent="0.35">
      <c r="G2158" s="40">
        <f t="shared" si="34"/>
        <v>48354</v>
      </c>
    </row>
    <row r="2159" spans="7:7" x14ac:dyDescent="0.35">
      <c r="G2159" s="40">
        <f t="shared" si="34"/>
        <v>48355</v>
      </c>
    </row>
    <row r="2160" spans="7:7" x14ac:dyDescent="0.35">
      <c r="G2160" s="40">
        <f t="shared" si="34"/>
        <v>48356</v>
      </c>
    </row>
    <row r="2161" spans="7:7" x14ac:dyDescent="0.35">
      <c r="G2161" s="40">
        <f t="shared" si="34"/>
        <v>48357</v>
      </c>
    </row>
    <row r="2162" spans="7:7" x14ac:dyDescent="0.35">
      <c r="G2162" s="40">
        <f t="shared" si="34"/>
        <v>48358</v>
      </c>
    </row>
    <row r="2163" spans="7:7" x14ac:dyDescent="0.35">
      <c r="G2163" s="40">
        <f t="shared" si="34"/>
        <v>48359</v>
      </c>
    </row>
    <row r="2164" spans="7:7" x14ac:dyDescent="0.35">
      <c r="G2164" s="40">
        <f t="shared" si="34"/>
        <v>48360</v>
      </c>
    </row>
    <row r="2165" spans="7:7" x14ac:dyDescent="0.35">
      <c r="G2165" s="40">
        <f t="shared" si="34"/>
        <v>48361</v>
      </c>
    </row>
    <row r="2166" spans="7:7" x14ac:dyDescent="0.35">
      <c r="G2166" s="40">
        <f t="shared" si="34"/>
        <v>48362</v>
      </c>
    </row>
    <row r="2167" spans="7:7" x14ac:dyDescent="0.35">
      <c r="G2167" s="40">
        <f t="shared" si="34"/>
        <v>48363</v>
      </c>
    </row>
    <row r="2168" spans="7:7" x14ac:dyDescent="0.35">
      <c r="G2168" s="40">
        <f t="shared" si="34"/>
        <v>48364</v>
      </c>
    </row>
    <row r="2169" spans="7:7" x14ac:dyDescent="0.35">
      <c r="G2169" s="40">
        <f t="shared" si="34"/>
        <v>48365</v>
      </c>
    </row>
    <row r="2170" spans="7:7" x14ac:dyDescent="0.35">
      <c r="G2170" s="40">
        <f t="shared" si="34"/>
        <v>48366</v>
      </c>
    </row>
    <row r="2171" spans="7:7" x14ac:dyDescent="0.35">
      <c r="G2171" s="40">
        <f t="shared" si="34"/>
        <v>48367</v>
      </c>
    </row>
    <row r="2172" spans="7:7" x14ac:dyDescent="0.35">
      <c r="G2172" s="40">
        <f t="shared" si="34"/>
        <v>48368</v>
      </c>
    </row>
    <row r="2173" spans="7:7" x14ac:dyDescent="0.35">
      <c r="G2173" s="40">
        <f t="shared" si="34"/>
        <v>48369</v>
      </c>
    </row>
    <row r="2174" spans="7:7" x14ac:dyDescent="0.35">
      <c r="G2174" s="40">
        <f t="shared" si="34"/>
        <v>48370</v>
      </c>
    </row>
    <row r="2175" spans="7:7" x14ac:dyDescent="0.35">
      <c r="G2175" s="40">
        <f t="shared" si="34"/>
        <v>48371</v>
      </c>
    </row>
    <row r="2176" spans="7:7" x14ac:dyDescent="0.35">
      <c r="G2176" s="40">
        <f t="shared" si="34"/>
        <v>48372</v>
      </c>
    </row>
    <row r="2177" spans="7:7" x14ac:dyDescent="0.35">
      <c r="G2177" s="40">
        <f t="shared" si="34"/>
        <v>48373</v>
      </c>
    </row>
    <row r="2178" spans="7:7" x14ac:dyDescent="0.35">
      <c r="G2178" s="40">
        <f t="shared" si="34"/>
        <v>48374</v>
      </c>
    </row>
    <row r="2179" spans="7:7" x14ac:dyDescent="0.35">
      <c r="G2179" s="40">
        <f t="shared" si="34"/>
        <v>48375</v>
      </c>
    </row>
    <row r="2180" spans="7:7" x14ac:dyDescent="0.35">
      <c r="G2180" s="40">
        <f t="shared" si="34"/>
        <v>48376</v>
      </c>
    </row>
    <row r="2181" spans="7:7" x14ac:dyDescent="0.35">
      <c r="G2181" s="40">
        <f t="shared" ref="G2181:G2244" si="35">G2180+1</f>
        <v>48377</v>
      </c>
    </row>
    <row r="2182" spans="7:7" x14ac:dyDescent="0.35">
      <c r="G2182" s="40">
        <f t="shared" si="35"/>
        <v>48378</v>
      </c>
    </row>
    <row r="2183" spans="7:7" x14ac:dyDescent="0.35">
      <c r="G2183" s="40">
        <f t="shared" si="35"/>
        <v>48379</v>
      </c>
    </row>
    <row r="2184" spans="7:7" x14ac:dyDescent="0.35">
      <c r="G2184" s="40">
        <f t="shared" si="35"/>
        <v>48380</v>
      </c>
    </row>
    <row r="2185" spans="7:7" x14ac:dyDescent="0.35">
      <c r="G2185" s="40">
        <f t="shared" si="35"/>
        <v>48381</v>
      </c>
    </row>
    <row r="2186" spans="7:7" x14ac:dyDescent="0.35">
      <c r="G2186" s="40">
        <f t="shared" si="35"/>
        <v>48382</v>
      </c>
    </row>
    <row r="2187" spans="7:7" x14ac:dyDescent="0.35">
      <c r="G2187" s="40">
        <f t="shared" si="35"/>
        <v>48383</v>
      </c>
    </row>
    <row r="2188" spans="7:7" x14ac:dyDescent="0.35">
      <c r="G2188" s="40">
        <f t="shared" si="35"/>
        <v>48384</v>
      </c>
    </row>
    <row r="2189" spans="7:7" x14ac:dyDescent="0.35">
      <c r="G2189" s="40">
        <f t="shared" si="35"/>
        <v>48385</v>
      </c>
    </row>
    <row r="2190" spans="7:7" x14ac:dyDescent="0.35">
      <c r="G2190" s="40">
        <f t="shared" si="35"/>
        <v>48386</v>
      </c>
    </row>
    <row r="2191" spans="7:7" x14ac:dyDescent="0.35">
      <c r="G2191" s="40">
        <f t="shared" si="35"/>
        <v>48387</v>
      </c>
    </row>
    <row r="2192" spans="7:7" x14ac:dyDescent="0.35">
      <c r="G2192" s="40">
        <f t="shared" si="35"/>
        <v>48388</v>
      </c>
    </row>
    <row r="2193" spans="7:7" x14ac:dyDescent="0.35">
      <c r="G2193" s="40">
        <f t="shared" si="35"/>
        <v>48389</v>
      </c>
    </row>
    <row r="2194" spans="7:7" x14ac:dyDescent="0.35">
      <c r="G2194" s="40">
        <f t="shared" si="35"/>
        <v>48390</v>
      </c>
    </row>
    <row r="2195" spans="7:7" x14ac:dyDescent="0.35">
      <c r="G2195" s="40">
        <f t="shared" si="35"/>
        <v>48391</v>
      </c>
    </row>
    <row r="2196" spans="7:7" x14ac:dyDescent="0.35">
      <c r="G2196" s="40">
        <f t="shared" si="35"/>
        <v>48392</v>
      </c>
    </row>
    <row r="2197" spans="7:7" x14ac:dyDescent="0.35">
      <c r="G2197" s="40">
        <f t="shared" si="35"/>
        <v>48393</v>
      </c>
    </row>
    <row r="2198" spans="7:7" x14ac:dyDescent="0.35">
      <c r="G2198" s="40">
        <f t="shared" si="35"/>
        <v>48394</v>
      </c>
    </row>
    <row r="2199" spans="7:7" x14ac:dyDescent="0.35">
      <c r="G2199" s="40">
        <f t="shared" si="35"/>
        <v>48395</v>
      </c>
    </row>
    <row r="2200" spans="7:7" x14ac:dyDescent="0.35">
      <c r="G2200" s="40">
        <f t="shared" si="35"/>
        <v>48396</v>
      </c>
    </row>
    <row r="2201" spans="7:7" x14ac:dyDescent="0.35">
      <c r="G2201" s="40">
        <f t="shared" si="35"/>
        <v>48397</v>
      </c>
    </row>
    <row r="2202" spans="7:7" x14ac:dyDescent="0.35">
      <c r="G2202" s="40">
        <f t="shared" si="35"/>
        <v>48398</v>
      </c>
    </row>
    <row r="2203" spans="7:7" x14ac:dyDescent="0.35">
      <c r="G2203" s="40">
        <f t="shared" si="35"/>
        <v>48399</v>
      </c>
    </row>
    <row r="2204" spans="7:7" x14ac:dyDescent="0.35">
      <c r="G2204" s="40">
        <f t="shared" si="35"/>
        <v>48400</v>
      </c>
    </row>
    <row r="2205" spans="7:7" x14ac:dyDescent="0.35">
      <c r="G2205" s="40">
        <f t="shared" si="35"/>
        <v>48401</v>
      </c>
    </row>
    <row r="2206" spans="7:7" x14ac:dyDescent="0.35">
      <c r="G2206" s="40">
        <f t="shared" si="35"/>
        <v>48402</v>
      </c>
    </row>
    <row r="2207" spans="7:7" x14ac:dyDescent="0.35">
      <c r="G2207" s="40">
        <f t="shared" si="35"/>
        <v>48403</v>
      </c>
    </row>
    <row r="2208" spans="7:7" x14ac:dyDescent="0.35">
      <c r="G2208" s="40">
        <f t="shared" si="35"/>
        <v>48404</v>
      </c>
    </row>
    <row r="2209" spans="7:7" x14ac:dyDescent="0.35">
      <c r="G2209" s="40">
        <f t="shared" si="35"/>
        <v>48405</v>
      </c>
    </row>
    <row r="2210" spans="7:7" x14ac:dyDescent="0.35">
      <c r="G2210" s="40">
        <f t="shared" si="35"/>
        <v>48406</v>
      </c>
    </row>
    <row r="2211" spans="7:7" x14ac:dyDescent="0.35">
      <c r="G2211" s="40">
        <f t="shared" si="35"/>
        <v>48407</v>
      </c>
    </row>
    <row r="2212" spans="7:7" x14ac:dyDescent="0.35">
      <c r="G2212" s="40">
        <f t="shared" si="35"/>
        <v>48408</v>
      </c>
    </row>
    <row r="2213" spans="7:7" x14ac:dyDescent="0.35">
      <c r="G2213" s="40">
        <f t="shared" si="35"/>
        <v>48409</v>
      </c>
    </row>
    <row r="2214" spans="7:7" x14ac:dyDescent="0.35">
      <c r="G2214" s="40">
        <f t="shared" si="35"/>
        <v>48410</v>
      </c>
    </row>
    <row r="2215" spans="7:7" x14ac:dyDescent="0.35">
      <c r="G2215" s="40">
        <f t="shared" si="35"/>
        <v>48411</v>
      </c>
    </row>
    <row r="2216" spans="7:7" x14ac:dyDescent="0.35">
      <c r="G2216" s="40">
        <f t="shared" si="35"/>
        <v>48412</v>
      </c>
    </row>
    <row r="2217" spans="7:7" x14ac:dyDescent="0.35">
      <c r="G2217" s="40">
        <f t="shared" si="35"/>
        <v>48413</v>
      </c>
    </row>
    <row r="2218" spans="7:7" x14ac:dyDescent="0.35">
      <c r="G2218" s="40">
        <f t="shared" si="35"/>
        <v>48414</v>
      </c>
    </row>
    <row r="2219" spans="7:7" x14ac:dyDescent="0.35">
      <c r="G2219" s="40">
        <f t="shared" si="35"/>
        <v>48415</v>
      </c>
    </row>
    <row r="2220" spans="7:7" x14ac:dyDescent="0.35">
      <c r="G2220" s="40">
        <f t="shared" si="35"/>
        <v>48416</v>
      </c>
    </row>
    <row r="2221" spans="7:7" x14ac:dyDescent="0.35">
      <c r="G2221" s="40">
        <f t="shared" si="35"/>
        <v>48417</v>
      </c>
    </row>
    <row r="2222" spans="7:7" x14ac:dyDescent="0.35">
      <c r="G2222" s="40">
        <f t="shared" si="35"/>
        <v>48418</v>
      </c>
    </row>
    <row r="2223" spans="7:7" x14ac:dyDescent="0.35">
      <c r="G2223" s="40">
        <f t="shared" si="35"/>
        <v>48419</v>
      </c>
    </row>
    <row r="2224" spans="7:7" x14ac:dyDescent="0.35">
      <c r="G2224" s="40">
        <f t="shared" si="35"/>
        <v>48420</v>
      </c>
    </row>
    <row r="2225" spans="7:7" x14ac:dyDescent="0.35">
      <c r="G2225" s="40">
        <f t="shared" si="35"/>
        <v>48421</v>
      </c>
    </row>
    <row r="2226" spans="7:7" x14ac:dyDescent="0.35">
      <c r="G2226" s="40">
        <f t="shared" si="35"/>
        <v>48422</v>
      </c>
    </row>
    <row r="2227" spans="7:7" x14ac:dyDescent="0.35">
      <c r="G2227" s="40">
        <f t="shared" si="35"/>
        <v>48423</v>
      </c>
    </row>
    <row r="2228" spans="7:7" x14ac:dyDescent="0.35">
      <c r="G2228" s="40">
        <f t="shared" si="35"/>
        <v>48424</v>
      </c>
    </row>
    <row r="2229" spans="7:7" x14ac:dyDescent="0.35">
      <c r="G2229" s="40">
        <f t="shared" si="35"/>
        <v>48425</v>
      </c>
    </row>
    <row r="2230" spans="7:7" x14ac:dyDescent="0.35">
      <c r="G2230" s="40">
        <f t="shared" si="35"/>
        <v>48426</v>
      </c>
    </row>
    <row r="2231" spans="7:7" x14ac:dyDescent="0.35">
      <c r="G2231" s="40">
        <f t="shared" si="35"/>
        <v>48427</v>
      </c>
    </row>
    <row r="2232" spans="7:7" x14ac:dyDescent="0.35">
      <c r="G2232" s="40">
        <f t="shared" si="35"/>
        <v>48428</v>
      </c>
    </row>
    <row r="2233" spans="7:7" x14ac:dyDescent="0.35">
      <c r="G2233" s="40">
        <f t="shared" si="35"/>
        <v>48429</v>
      </c>
    </row>
    <row r="2234" spans="7:7" x14ac:dyDescent="0.35">
      <c r="G2234" s="40">
        <f t="shared" si="35"/>
        <v>48430</v>
      </c>
    </row>
    <row r="2235" spans="7:7" x14ac:dyDescent="0.35">
      <c r="G2235" s="40">
        <f t="shared" si="35"/>
        <v>48431</v>
      </c>
    </row>
    <row r="2236" spans="7:7" x14ac:dyDescent="0.35">
      <c r="G2236" s="40">
        <f t="shared" si="35"/>
        <v>48432</v>
      </c>
    </row>
    <row r="2237" spans="7:7" x14ac:dyDescent="0.35">
      <c r="G2237" s="40">
        <f t="shared" si="35"/>
        <v>48433</v>
      </c>
    </row>
    <row r="2238" spans="7:7" x14ac:dyDescent="0.35">
      <c r="G2238" s="40">
        <f t="shared" si="35"/>
        <v>48434</v>
      </c>
    </row>
    <row r="2239" spans="7:7" x14ac:dyDescent="0.35">
      <c r="G2239" s="40">
        <f t="shared" si="35"/>
        <v>48435</v>
      </c>
    </row>
    <row r="2240" spans="7:7" x14ac:dyDescent="0.35">
      <c r="G2240" s="40">
        <f t="shared" si="35"/>
        <v>48436</v>
      </c>
    </row>
    <row r="2241" spans="7:7" x14ac:dyDescent="0.35">
      <c r="G2241" s="40">
        <f t="shared" si="35"/>
        <v>48437</v>
      </c>
    </row>
    <row r="2242" spans="7:7" x14ac:dyDescent="0.35">
      <c r="G2242" s="40">
        <f t="shared" si="35"/>
        <v>48438</v>
      </c>
    </row>
    <row r="2243" spans="7:7" x14ac:dyDescent="0.35">
      <c r="G2243" s="40">
        <f t="shared" si="35"/>
        <v>48439</v>
      </c>
    </row>
    <row r="2244" spans="7:7" x14ac:dyDescent="0.35">
      <c r="G2244" s="40">
        <f t="shared" si="35"/>
        <v>48440</v>
      </c>
    </row>
    <row r="2245" spans="7:7" x14ac:dyDescent="0.35">
      <c r="G2245" s="40">
        <f t="shared" ref="G2245:G2308" si="36">G2244+1</f>
        <v>48441</v>
      </c>
    </row>
    <row r="2246" spans="7:7" x14ac:dyDescent="0.35">
      <c r="G2246" s="40">
        <f t="shared" si="36"/>
        <v>48442</v>
      </c>
    </row>
    <row r="2247" spans="7:7" x14ac:dyDescent="0.35">
      <c r="G2247" s="40">
        <f t="shared" si="36"/>
        <v>48443</v>
      </c>
    </row>
    <row r="2248" spans="7:7" x14ac:dyDescent="0.35">
      <c r="G2248" s="40">
        <f t="shared" si="36"/>
        <v>48444</v>
      </c>
    </row>
    <row r="2249" spans="7:7" x14ac:dyDescent="0.35">
      <c r="G2249" s="40">
        <f t="shared" si="36"/>
        <v>48445</v>
      </c>
    </row>
    <row r="2250" spans="7:7" x14ac:dyDescent="0.35">
      <c r="G2250" s="40">
        <f t="shared" si="36"/>
        <v>48446</v>
      </c>
    </row>
    <row r="2251" spans="7:7" x14ac:dyDescent="0.35">
      <c r="G2251" s="40">
        <f t="shared" si="36"/>
        <v>48447</v>
      </c>
    </row>
    <row r="2252" spans="7:7" x14ac:dyDescent="0.35">
      <c r="G2252" s="40">
        <f t="shared" si="36"/>
        <v>48448</v>
      </c>
    </row>
    <row r="2253" spans="7:7" x14ac:dyDescent="0.35">
      <c r="G2253" s="40">
        <f t="shared" si="36"/>
        <v>48449</v>
      </c>
    </row>
    <row r="2254" spans="7:7" x14ac:dyDescent="0.35">
      <c r="G2254" s="40">
        <f t="shared" si="36"/>
        <v>48450</v>
      </c>
    </row>
    <row r="2255" spans="7:7" x14ac:dyDescent="0.35">
      <c r="G2255" s="40">
        <f t="shared" si="36"/>
        <v>48451</v>
      </c>
    </row>
    <row r="2256" spans="7:7" x14ac:dyDescent="0.35">
      <c r="G2256" s="40">
        <f t="shared" si="36"/>
        <v>48452</v>
      </c>
    </row>
    <row r="2257" spans="7:7" x14ac:dyDescent="0.35">
      <c r="G2257" s="40">
        <f t="shared" si="36"/>
        <v>48453</v>
      </c>
    </row>
    <row r="2258" spans="7:7" x14ac:dyDescent="0.35">
      <c r="G2258" s="40">
        <f t="shared" si="36"/>
        <v>48454</v>
      </c>
    </row>
    <row r="2259" spans="7:7" x14ac:dyDescent="0.35">
      <c r="G2259" s="40">
        <f t="shared" si="36"/>
        <v>48455</v>
      </c>
    </row>
    <row r="2260" spans="7:7" x14ac:dyDescent="0.35">
      <c r="G2260" s="40">
        <f t="shared" si="36"/>
        <v>48456</v>
      </c>
    </row>
    <row r="2261" spans="7:7" x14ac:dyDescent="0.35">
      <c r="G2261" s="40">
        <f t="shared" si="36"/>
        <v>48457</v>
      </c>
    </row>
    <row r="2262" spans="7:7" x14ac:dyDescent="0.35">
      <c r="G2262" s="40">
        <f t="shared" si="36"/>
        <v>48458</v>
      </c>
    </row>
    <row r="2263" spans="7:7" x14ac:dyDescent="0.35">
      <c r="G2263" s="40">
        <f t="shared" si="36"/>
        <v>48459</v>
      </c>
    </row>
    <row r="2264" spans="7:7" x14ac:dyDescent="0.35">
      <c r="G2264" s="40">
        <f t="shared" si="36"/>
        <v>48460</v>
      </c>
    </row>
    <row r="2265" spans="7:7" x14ac:dyDescent="0.35">
      <c r="G2265" s="40">
        <f t="shared" si="36"/>
        <v>48461</v>
      </c>
    </row>
    <row r="2266" spans="7:7" x14ac:dyDescent="0.35">
      <c r="G2266" s="40">
        <f t="shared" si="36"/>
        <v>48462</v>
      </c>
    </row>
    <row r="2267" spans="7:7" x14ac:dyDescent="0.35">
      <c r="G2267" s="40">
        <f t="shared" si="36"/>
        <v>48463</v>
      </c>
    </row>
    <row r="2268" spans="7:7" x14ac:dyDescent="0.35">
      <c r="G2268" s="40">
        <f t="shared" si="36"/>
        <v>48464</v>
      </c>
    </row>
    <row r="2269" spans="7:7" x14ac:dyDescent="0.35">
      <c r="G2269" s="40">
        <f t="shared" si="36"/>
        <v>48465</v>
      </c>
    </row>
    <row r="2270" spans="7:7" x14ac:dyDescent="0.35">
      <c r="G2270" s="40">
        <f t="shared" si="36"/>
        <v>48466</v>
      </c>
    </row>
    <row r="2271" spans="7:7" x14ac:dyDescent="0.35">
      <c r="G2271" s="40">
        <f t="shared" si="36"/>
        <v>48467</v>
      </c>
    </row>
    <row r="2272" spans="7:7" x14ac:dyDescent="0.35">
      <c r="G2272" s="40">
        <f t="shared" si="36"/>
        <v>48468</v>
      </c>
    </row>
    <row r="2273" spans="7:7" x14ac:dyDescent="0.35">
      <c r="G2273" s="40">
        <f t="shared" si="36"/>
        <v>48469</v>
      </c>
    </row>
    <row r="2274" spans="7:7" x14ac:dyDescent="0.35">
      <c r="G2274" s="40">
        <f t="shared" si="36"/>
        <v>48470</v>
      </c>
    </row>
    <row r="2275" spans="7:7" x14ac:dyDescent="0.35">
      <c r="G2275" s="40">
        <f t="shared" si="36"/>
        <v>48471</v>
      </c>
    </row>
    <row r="2276" spans="7:7" x14ac:dyDescent="0.35">
      <c r="G2276" s="40">
        <f t="shared" si="36"/>
        <v>48472</v>
      </c>
    </row>
    <row r="2277" spans="7:7" x14ac:dyDescent="0.35">
      <c r="G2277" s="40">
        <f t="shared" si="36"/>
        <v>48473</v>
      </c>
    </row>
    <row r="2278" spans="7:7" x14ac:dyDescent="0.35">
      <c r="G2278" s="40">
        <f t="shared" si="36"/>
        <v>48474</v>
      </c>
    </row>
    <row r="2279" spans="7:7" x14ac:dyDescent="0.35">
      <c r="G2279" s="40">
        <f t="shared" si="36"/>
        <v>48475</v>
      </c>
    </row>
    <row r="2280" spans="7:7" x14ac:dyDescent="0.35">
      <c r="G2280" s="40">
        <f t="shared" si="36"/>
        <v>48476</v>
      </c>
    </row>
    <row r="2281" spans="7:7" x14ac:dyDescent="0.35">
      <c r="G2281" s="40">
        <f t="shared" si="36"/>
        <v>48477</v>
      </c>
    </row>
    <row r="2282" spans="7:7" x14ac:dyDescent="0.35">
      <c r="G2282" s="40">
        <f t="shared" si="36"/>
        <v>48478</v>
      </c>
    </row>
    <row r="2283" spans="7:7" x14ac:dyDescent="0.35">
      <c r="G2283" s="40">
        <f t="shared" si="36"/>
        <v>48479</v>
      </c>
    </row>
    <row r="2284" spans="7:7" x14ac:dyDescent="0.35">
      <c r="G2284" s="40">
        <f t="shared" si="36"/>
        <v>48480</v>
      </c>
    </row>
    <row r="2285" spans="7:7" x14ac:dyDescent="0.35">
      <c r="G2285" s="40">
        <f t="shared" si="36"/>
        <v>48481</v>
      </c>
    </row>
    <row r="2286" spans="7:7" x14ac:dyDescent="0.35">
      <c r="G2286" s="40">
        <f t="shared" si="36"/>
        <v>48482</v>
      </c>
    </row>
    <row r="2287" spans="7:7" x14ac:dyDescent="0.35">
      <c r="G2287" s="40">
        <f t="shared" si="36"/>
        <v>48483</v>
      </c>
    </row>
    <row r="2288" spans="7:7" x14ac:dyDescent="0.35">
      <c r="G2288" s="40">
        <f t="shared" si="36"/>
        <v>48484</v>
      </c>
    </row>
    <row r="2289" spans="7:7" x14ac:dyDescent="0.35">
      <c r="G2289" s="40">
        <f t="shared" si="36"/>
        <v>48485</v>
      </c>
    </row>
    <row r="2290" spans="7:7" x14ac:dyDescent="0.35">
      <c r="G2290" s="40">
        <f t="shared" si="36"/>
        <v>48486</v>
      </c>
    </row>
    <row r="2291" spans="7:7" x14ac:dyDescent="0.35">
      <c r="G2291" s="40">
        <f t="shared" si="36"/>
        <v>48487</v>
      </c>
    </row>
    <row r="2292" spans="7:7" x14ac:dyDescent="0.35">
      <c r="G2292" s="40">
        <f t="shared" si="36"/>
        <v>48488</v>
      </c>
    </row>
    <row r="2293" spans="7:7" x14ac:dyDescent="0.35">
      <c r="G2293" s="40">
        <f t="shared" si="36"/>
        <v>48489</v>
      </c>
    </row>
    <row r="2294" spans="7:7" x14ac:dyDescent="0.35">
      <c r="G2294" s="40">
        <f t="shared" si="36"/>
        <v>48490</v>
      </c>
    </row>
    <row r="2295" spans="7:7" x14ac:dyDescent="0.35">
      <c r="G2295" s="40">
        <f t="shared" si="36"/>
        <v>48491</v>
      </c>
    </row>
    <row r="2296" spans="7:7" x14ac:dyDescent="0.35">
      <c r="G2296" s="40">
        <f t="shared" si="36"/>
        <v>48492</v>
      </c>
    </row>
    <row r="2297" spans="7:7" x14ac:dyDescent="0.35">
      <c r="G2297" s="40">
        <f t="shared" si="36"/>
        <v>48493</v>
      </c>
    </row>
    <row r="2298" spans="7:7" x14ac:dyDescent="0.35">
      <c r="G2298" s="40">
        <f t="shared" si="36"/>
        <v>48494</v>
      </c>
    </row>
    <row r="2299" spans="7:7" x14ac:dyDescent="0.35">
      <c r="G2299" s="40">
        <f t="shared" si="36"/>
        <v>48495</v>
      </c>
    </row>
    <row r="2300" spans="7:7" x14ac:dyDescent="0.35">
      <c r="G2300" s="40">
        <f t="shared" si="36"/>
        <v>48496</v>
      </c>
    </row>
    <row r="2301" spans="7:7" x14ac:dyDescent="0.35">
      <c r="G2301" s="40">
        <f t="shared" si="36"/>
        <v>48497</v>
      </c>
    </row>
    <row r="2302" spans="7:7" x14ac:dyDescent="0.35">
      <c r="G2302" s="40">
        <f t="shared" si="36"/>
        <v>48498</v>
      </c>
    </row>
    <row r="2303" spans="7:7" x14ac:dyDescent="0.35">
      <c r="G2303" s="40">
        <f t="shared" si="36"/>
        <v>48499</v>
      </c>
    </row>
    <row r="2304" spans="7:7" x14ac:dyDescent="0.35">
      <c r="G2304" s="40">
        <f t="shared" si="36"/>
        <v>48500</v>
      </c>
    </row>
    <row r="2305" spans="7:7" x14ac:dyDescent="0.35">
      <c r="G2305" s="40">
        <f t="shared" si="36"/>
        <v>48501</v>
      </c>
    </row>
    <row r="2306" spans="7:7" x14ac:dyDescent="0.35">
      <c r="G2306" s="40">
        <f t="shared" si="36"/>
        <v>48502</v>
      </c>
    </row>
    <row r="2307" spans="7:7" x14ac:dyDescent="0.35">
      <c r="G2307" s="40">
        <f t="shared" si="36"/>
        <v>48503</v>
      </c>
    </row>
    <row r="2308" spans="7:7" x14ac:dyDescent="0.35">
      <c r="G2308" s="40">
        <f t="shared" si="36"/>
        <v>48504</v>
      </c>
    </row>
    <row r="2309" spans="7:7" x14ac:dyDescent="0.35">
      <c r="G2309" s="40">
        <f t="shared" ref="G2309:G2372" si="37">G2308+1</f>
        <v>48505</v>
      </c>
    </row>
    <row r="2310" spans="7:7" x14ac:dyDescent="0.35">
      <c r="G2310" s="40">
        <f t="shared" si="37"/>
        <v>48506</v>
      </c>
    </row>
    <row r="2311" spans="7:7" x14ac:dyDescent="0.35">
      <c r="G2311" s="40">
        <f t="shared" si="37"/>
        <v>48507</v>
      </c>
    </row>
    <row r="2312" spans="7:7" x14ac:dyDescent="0.35">
      <c r="G2312" s="40">
        <f t="shared" si="37"/>
        <v>48508</v>
      </c>
    </row>
    <row r="2313" spans="7:7" x14ac:dyDescent="0.35">
      <c r="G2313" s="40">
        <f t="shared" si="37"/>
        <v>48509</v>
      </c>
    </row>
    <row r="2314" spans="7:7" x14ac:dyDescent="0.35">
      <c r="G2314" s="40">
        <f t="shared" si="37"/>
        <v>48510</v>
      </c>
    </row>
    <row r="2315" spans="7:7" x14ac:dyDescent="0.35">
      <c r="G2315" s="40">
        <f t="shared" si="37"/>
        <v>48511</v>
      </c>
    </row>
    <row r="2316" spans="7:7" x14ac:dyDescent="0.35">
      <c r="G2316" s="40">
        <f t="shared" si="37"/>
        <v>48512</v>
      </c>
    </row>
    <row r="2317" spans="7:7" x14ac:dyDescent="0.35">
      <c r="G2317" s="40">
        <f t="shared" si="37"/>
        <v>48513</v>
      </c>
    </row>
    <row r="2318" spans="7:7" x14ac:dyDescent="0.35">
      <c r="G2318" s="40">
        <f t="shared" si="37"/>
        <v>48514</v>
      </c>
    </row>
    <row r="2319" spans="7:7" x14ac:dyDescent="0.35">
      <c r="G2319" s="40">
        <f t="shared" si="37"/>
        <v>48515</v>
      </c>
    </row>
    <row r="2320" spans="7:7" x14ac:dyDescent="0.35">
      <c r="G2320" s="40">
        <f t="shared" si="37"/>
        <v>48516</v>
      </c>
    </row>
    <row r="2321" spans="7:7" x14ac:dyDescent="0.35">
      <c r="G2321" s="40">
        <f t="shared" si="37"/>
        <v>48517</v>
      </c>
    </row>
    <row r="2322" spans="7:7" x14ac:dyDescent="0.35">
      <c r="G2322" s="40">
        <f t="shared" si="37"/>
        <v>48518</v>
      </c>
    </row>
    <row r="2323" spans="7:7" x14ac:dyDescent="0.35">
      <c r="G2323" s="40">
        <f t="shared" si="37"/>
        <v>48519</v>
      </c>
    </row>
    <row r="2324" spans="7:7" x14ac:dyDescent="0.35">
      <c r="G2324" s="40">
        <f t="shared" si="37"/>
        <v>48520</v>
      </c>
    </row>
    <row r="2325" spans="7:7" x14ac:dyDescent="0.35">
      <c r="G2325" s="40">
        <f t="shared" si="37"/>
        <v>48521</v>
      </c>
    </row>
    <row r="2326" spans="7:7" x14ac:dyDescent="0.35">
      <c r="G2326" s="40">
        <f t="shared" si="37"/>
        <v>48522</v>
      </c>
    </row>
    <row r="2327" spans="7:7" x14ac:dyDescent="0.35">
      <c r="G2327" s="40">
        <f t="shared" si="37"/>
        <v>48523</v>
      </c>
    </row>
    <row r="2328" spans="7:7" x14ac:dyDescent="0.35">
      <c r="G2328" s="40">
        <f t="shared" si="37"/>
        <v>48524</v>
      </c>
    </row>
    <row r="2329" spans="7:7" x14ac:dyDescent="0.35">
      <c r="G2329" s="40">
        <f t="shared" si="37"/>
        <v>48525</v>
      </c>
    </row>
    <row r="2330" spans="7:7" x14ac:dyDescent="0.35">
      <c r="G2330" s="40">
        <f t="shared" si="37"/>
        <v>48526</v>
      </c>
    </row>
    <row r="2331" spans="7:7" x14ac:dyDescent="0.35">
      <c r="G2331" s="40">
        <f t="shared" si="37"/>
        <v>48527</v>
      </c>
    </row>
    <row r="2332" spans="7:7" x14ac:dyDescent="0.35">
      <c r="G2332" s="40">
        <f t="shared" si="37"/>
        <v>48528</v>
      </c>
    </row>
    <row r="2333" spans="7:7" x14ac:dyDescent="0.35">
      <c r="G2333" s="40">
        <f t="shared" si="37"/>
        <v>48529</v>
      </c>
    </row>
    <row r="2334" spans="7:7" x14ac:dyDescent="0.35">
      <c r="G2334" s="40">
        <f t="shared" si="37"/>
        <v>48530</v>
      </c>
    </row>
    <row r="2335" spans="7:7" x14ac:dyDescent="0.35">
      <c r="G2335" s="40">
        <f t="shared" si="37"/>
        <v>48531</v>
      </c>
    </row>
    <row r="2336" spans="7:7" x14ac:dyDescent="0.35">
      <c r="G2336" s="40">
        <f t="shared" si="37"/>
        <v>48532</v>
      </c>
    </row>
    <row r="2337" spans="7:7" x14ac:dyDescent="0.35">
      <c r="G2337" s="40">
        <f t="shared" si="37"/>
        <v>48533</v>
      </c>
    </row>
    <row r="2338" spans="7:7" x14ac:dyDescent="0.35">
      <c r="G2338" s="40">
        <f t="shared" si="37"/>
        <v>48534</v>
      </c>
    </row>
    <row r="2339" spans="7:7" x14ac:dyDescent="0.35">
      <c r="G2339" s="40">
        <f t="shared" si="37"/>
        <v>48535</v>
      </c>
    </row>
    <row r="2340" spans="7:7" x14ac:dyDescent="0.35">
      <c r="G2340" s="40">
        <f t="shared" si="37"/>
        <v>48536</v>
      </c>
    </row>
    <row r="2341" spans="7:7" x14ac:dyDescent="0.35">
      <c r="G2341" s="40">
        <f t="shared" si="37"/>
        <v>48537</v>
      </c>
    </row>
    <row r="2342" spans="7:7" x14ac:dyDescent="0.35">
      <c r="G2342" s="40">
        <f t="shared" si="37"/>
        <v>48538</v>
      </c>
    </row>
    <row r="2343" spans="7:7" x14ac:dyDescent="0.35">
      <c r="G2343" s="40">
        <f t="shared" si="37"/>
        <v>48539</v>
      </c>
    </row>
    <row r="2344" spans="7:7" x14ac:dyDescent="0.35">
      <c r="G2344" s="40">
        <f t="shared" si="37"/>
        <v>48540</v>
      </c>
    </row>
    <row r="2345" spans="7:7" x14ac:dyDescent="0.35">
      <c r="G2345" s="40">
        <f t="shared" si="37"/>
        <v>48541</v>
      </c>
    </row>
    <row r="2346" spans="7:7" x14ac:dyDescent="0.35">
      <c r="G2346" s="40">
        <f t="shared" si="37"/>
        <v>48542</v>
      </c>
    </row>
    <row r="2347" spans="7:7" x14ac:dyDescent="0.35">
      <c r="G2347" s="40">
        <f t="shared" si="37"/>
        <v>48543</v>
      </c>
    </row>
    <row r="2348" spans="7:7" x14ac:dyDescent="0.35">
      <c r="G2348" s="40">
        <f t="shared" si="37"/>
        <v>48544</v>
      </c>
    </row>
    <row r="2349" spans="7:7" x14ac:dyDescent="0.35">
      <c r="G2349" s="40">
        <f t="shared" si="37"/>
        <v>48545</v>
      </c>
    </row>
    <row r="2350" spans="7:7" x14ac:dyDescent="0.35">
      <c r="G2350" s="40">
        <f t="shared" si="37"/>
        <v>48546</v>
      </c>
    </row>
    <row r="2351" spans="7:7" x14ac:dyDescent="0.35">
      <c r="G2351" s="40">
        <f t="shared" si="37"/>
        <v>48547</v>
      </c>
    </row>
    <row r="2352" spans="7:7" x14ac:dyDescent="0.35">
      <c r="G2352" s="40">
        <f t="shared" si="37"/>
        <v>48548</v>
      </c>
    </row>
    <row r="2353" spans="7:7" x14ac:dyDescent="0.35">
      <c r="G2353" s="40">
        <f t="shared" si="37"/>
        <v>48549</v>
      </c>
    </row>
    <row r="2354" spans="7:7" x14ac:dyDescent="0.35">
      <c r="G2354" s="40">
        <f t="shared" si="37"/>
        <v>48550</v>
      </c>
    </row>
    <row r="2355" spans="7:7" x14ac:dyDescent="0.35">
      <c r="G2355" s="40">
        <f t="shared" si="37"/>
        <v>48551</v>
      </c>
    </row>
    <row r="2356" spans="7:7" x14ac:dyDescent="0.35">
      <c r="G2356" s="40">
        <f t="shared" si="37"/>
        <v>48552</v>
      </c>
    </row>
    <row r="2357" spans="7:7" x14ac:dyDescent="0.35">
      <c r="G2357" s="40">
        <f t="shared" si="37"/>
        <v>48553</v>
      </c>
    </row>
    <row r="2358" spans="7:7" x14ac:dyDescent="0.35">
      <c r="G2358" s="40">
        <f t="shared" si="37"/>
        <v>48554</v>
      </c>
    </row>
    <row r="2359" spans="7:7" x14ac:dyDescent="0.35">
      <c r="G2359" s="40">
        <f t="shared" si="37"/>
        <v>48555</v>
      </c>
    </row>
    <row r="2360" spans="7:7" x14ac:dyDescent="0.35">
      <c r="G2360" s="40">
        <f t="shared" si="37"/>
        <v>48556</v>
      </c>
    </row>
    <row r="2361" spans="7:7" x14ac:dyDescent="0.35">
      <c r="G2361" s="40">
        <f t="shared" si="37"/>
        <v>48557</v>
      </c>
    </row>
    <row r="2362" spans="7:7" x14ac:dyDescent="0.35">
      <c r="G2362" s="40">
        <f t="shared" si="37"/>
        <v>48558</v>
      </c>
    </row>
    <row r="2363" spans="7:7" x14ac:dyDescent="0.35">
      <c r="G2363" s="40">
        <f t="shared" si="37"/>
        <v>48559</v>
      </c>
    </row>
    <row r="2364" spans="7:7" x14ac:dyDescent="0.35">
      <c r="G2364" s="40">
        <f t="shared" si="37"/>
        <v>48560</v>
      </c>
    </row>
    <row r="2365" spans="7:7" x14ac:dyDescent="0.35">
      <c r="G2365" s="40">
        <f t="shared" si="37"/>
        <v>48561</v>
      </c>
    </row>
    <row r="2366" spans="7:7" x14ac:dyDescent="0.35">
      <c r="G2366" s="40">
        <f t="shared" si="37"/>
        <v>48562</v>
      </c>
    </row>
    <row r="2367" spans="7:7" x14ac:dyDescent="0.35">
      <c r="G2367" s="40">
        <f t="shared" si="37"/>
        <v>48563</v>
      </c>
    </row>
    <row r="2368" spans="7:7" x14ac:dyDescent="0.35">
      <c r="G2368" s="40">
        <f t="shared" si="37"/>
        <v>48564</v>
      </c>
    </row>
    <row r="2369" spans="7:7" x14ac:dyDescent="0.35">
      <c r="G2369" s="40">
        <f t="shared" si="37"/>
        <v>48565</v>
      </c>
    </row>
    <row r="2370" spans="7:7" x14ac:dyDescent="0.35">
      <c r="G2370" s="40">
        <f t="shared" si="37"/>
        <v>48566</v>
      </c>
    </row>
    <row r="2371" spans="7:7" x14ac:dyDescent="0.35">
      <c r="G2371" s="40">
        <f t="shared" si="37"/>
        <v>48567</v>
      </c>
    </row>
    <row r="2372" spans="7:7" x14ac:dyDescent="0.35">
      <c r="G2372" s="40">
        <f t="shared" si="37"/>
        <v>48568</v>
      </c>
    </row>
    <row r="2373" spans="7:7" x14ac:dyDescent="0.35">
      <c r="G2373" s="40">
        <f t="shared" ref="G2373:G2436" si="38">G2372+1</f>
        <v>48569</v>
      </c>
    </row>
    <row r="2374" spans="7:7" x14ac:dyDescent="0.35">
      <c r="G2374" s="40">
        <f t="shared" si="38"/>
        <v>48570</v>
      </c>
    </row>
    <row r="2375" spans="7:7" x14ac:dyDescent="0.35">
      <c r="G2375" s="40">
        <f t="shared" si="38"/>
        <v>48571</v>
      </c>
    </row>
    <row r="2376" spans="7:7" x14ac:dyDescent="0.35">
      <c r="G2376" s="40">
        <f t="shared" si="38"/>
        <v>48572</v>
      </c>
    </row>
    <row r="2377" spans="7:7" x14ac:dyDescent="0.35">
      <c r="G2377" s="40">
        <f t="shared" si="38"/>
        <v>48573</v>
      </c>
    </row>
    <row r="2378" spans="7:7" x14ac:dyDescent="0.35">
      <c r="G2378" s="40">
        <f t="shared" si="38"/>
        <v>48574</v>
      </c>
    </row>
    <row r="2379" spans="7:7" x14ac:dyDescent="0.35">
      <c r="G2379" s="40">
        <f t="shared" si="38"/>
        <v>48575</v>
      </c>
    </row>
    <row r="2380" spans="7:7" x14ac:dyDescent="0.35">
      <c r="G2380" s="40">
        <f t="shared" si="38"/>
        <v>48576</v>
      </c>
    </row>
    <row r="2381" spans="7:7" x14ac:dyDescent="0.35">
      <c r="G2381" s="40">
        <f t="shared" si="38"/>
        <v>48577</v>
      </c>
    </row>
    <row r="2382" spans="7:7" x14ac:dyDescent="0.35">
      <c r="G2382" s="40">
        <f t="shared" si="38"/>
        <v>48578</v>
      </c>
    </row>
    <row r="2383" spans="7:7" x14ac:dyDescent="0.35">
      <c r="G2383" s="40">
        <f t="shared" si="38"/>
        <v>48579</v>
      </c>
    </row>
    <row r="2384" spans="7:7" x14ac:dyDescent="0.35">
      <c r="G2384" s="40">
        <f t="shared" si="38"/>
        <v>48580</v>
      </c>
    </row>
    <row r="2385" spans="7:7" x14ac:dyDescent="0.35">
      <c r="G2385" s="40">
        <f t="shared" si="38"/>
        <v>48581</v>
      </c>
    </row>
    <row r="2386" spans="7:7" x14ac:dyDescent="0.35">
      <c r="G2386" s="40">
        <f t="shared" si="38"/>
        <v>48582</v>
      </c>
    </row>
    <row r="2387" spans="7:7" x14ac:dyDescent="0.35">
      <c r="G2387" s="40">
        <f t="shared" si="38"/>
        <v>48583</v>
      </c>
    </row>
    <row r="2388" spans="7:7" x14ac:dyDescent="0.35">
      <c r="G2388" s="40">
        <f t="shared" si="38"/>
        <v>48584</v>
      </c>
    </row>
    <row r="2389" spans="7:7" x14ac:dyDescent="0.35">
      <c r="G2389" s="40">
        <f t="shared" si="38"/>
        <v>48585</v>
      </c>
    </row>
    <row r="2390" spans="7:7" x14ac:dyDescent="0.35">
      <c r="G2390" s="40">
        <f t="shared" si="38"/>
        <v>48586</v>
      </c>
    </row>
    <row r="2391" spans="7:7" x14ac:dyDescent="0.35">
      <c r="G2391" s="40">
        <f t="shared" si="38"/>
        <v>48587</v>
      </c>
    </row>
    <row r="2392" spans="7:7" x14ac:dyDescent="0.35">
      <c r="G2392" s="40">
        <f t="shared" si="38"/>
        <v>48588</v>
      </c>
    </row>
    <row r="2393" spans="7:7" x14ac:dyDescent="0.35">
      <c r="G2393" s="40">
        <f t="shared" si="38"/>
        <v>48589</v>
      </c>
    </row>
    <row r="2394" spans="7:7" x14ac:dyDescent="0.35">
      <c r="G2394" s="40">
        <f t="shared" si="38"/>
        <v>48590</v>
      </c>
    </row>
    <row r="2395" spans="7:7" x14ac:dyDescent="0.35">
      <c r="G2395" s="40">
        <f t="shared" si="38"/>
        <v>48591</v>
      </c>
    </row>
    <row r="2396" spans="7:7" x14ac:dyDescent="0.35">
      <c r="G2396" s="40">
        <f t="shared" si="38"/>
        <v>48592</v>
      </c>
    </row>
    <row r="2397" spans="7:7" x14ac:dyDescent="0.35">
      <c r="G2397" s="40">
        <f t="shared" si="38"/>
        <v>48593</v>
      </c>
    </row>
    <row r="2398" spans="7:7" x14ac:dyDescent="0.35">
      <c r="G2398" s="40">
        <f t="shared" si="38"/>
        <v>48594</v>
      </c>
    </row>
    <row r="2399" spans="7:7" x14ac:dyDescent="0.35">
      <c r="G2399" s="40">
        <f t="shared" si="38"/>
        <v>48595</v>
      </c>
    </row>
    <row r="2400" spans="7:7" x14ac:dyDescent="0.35">
      <c r="G2400" s="40">
        <f t="shared" si="38"/>
        <v>48596</v>
      </c>
    </row>
    <row r="2401" spans="7:7" x14ac:dyDescent="0.35">
      <c r="G2401" s="40">
        <f t="shared" si="38"/>
        <v>48597</v>
      </c>
    </row>
    <row r="2402" spans="7:7" x14ac:dyDescent="0.35">
      <c r="G2402" s="40">
        <f t="shared" si="38"/>
        <v>48598</v>
      </c>
    </row>
    <row r="2403" spans="7:7" x14ac:dyDescent="0.35">
      <c r="G2403" s="40">
        <f t="shared" si="38"/>
        <v>48599</v>
      </c>
    </row>
    <row r="2404" spans="7:7" x14ac:dyDescent="0.35">
      <c r="G2404" s="40">
        <f t="shared" si="38"/>
        <v>48600</v>
      </c>
    </row>
    <row r="2405" spans="7:7" x14ac:dyDescent="0.35">
      <c r="G2405" s="40">
        <f t="shared" si="38"/>
        <v>48601</v>
      </c>
    </row>
    <row r="2406" spans="7:7" x14ac:dyDescent="0.35">
      <c r="G2406" s="40">
        <f t="shared" si="38"/>
        <v>48602</v>
      </c>
    </row>
    <row r="2407" spans="7:7" x14ac:dyDescent="0.35">
      <c r="G2407" s="40">
        <f t="shared" si="38"/>
        <v>48603</v>
      </c>
    </row>
    <row r="2408" spans="7:7" x14ac:dyDescent="0.35">
      <c r="G2408" s="40">
        <f t="shared" si="38"/>
        <v>48604</v>
      </c>
    </row>
    <row r="2409" spans="7:7" x14ac:dyDescent="0.35">
      <c r="G2409" s="40">
        <f t="shared" si="38"/>
        <v>48605</v>
      </c>
    </row>
    <row r="2410" spans="7:7" x14ac:dyDescent="0.35">
      <c r="G2410" s="40">
        <f t="shared" si="38"/>
        <v>48606</v>
      </c>
    </row>
    <row r="2411" spans="7:7" x14ac:dyDescent="0.35">
      <c r="G2411" s="40">
        <f t="shared" si="38"/>
        <v>48607</v>
      </c>
    </row>
    <row r="2412" spans="7:7" x14ac:dyDescent="0.35">
      <c r="G2412" s="40">
        <f t="shared" si="38"/>
        <v>48608</v>
      </c>
    </row>
    <row r="2413" spans="7:7" x14ac:dyDescent="0.35">
      <c r="G2413" s="40">
        <f t="shared" si="38"/>
        <v>48609</v>
      </c>
    </row>
    <row r="2414" spans="7:7" x14ac:dyDescent="0.35">
      <c r="G2414" s="40">
        <f t="shared" si="38"/>
        <v>48610</v>
      </c>
    </row>
    <row r="2415" spans="7:7" x14ac:dyDescent="0.35">
      <c r="G2415" s="40">
        <f t="shared" si="38"/>
        <v>48611</v>
      </c>
    </row>
    <row r="2416" spans="7:7" x14ac:dyDescent="0.35">
      <c r="G2416" s="40">
        <f t="shared" si="38"/>
        <v>48612</v>
      </c>
    </row>
    <row r="2417" spans="7:7" x14ac:dyDescent="0.35">
      <c r="G2417" s="40">
        <f t="shared" si="38"/>
        <v>48613</v>
      </c>
    </row>
    <row r="2418" spans="7:7" x14ac:dyDescent="0.35">
      <c r="G2418" s="40">
        <f t="shared" si="38"/>
        <v>48614</v>
      </c>
    </row>
    <row r="2419" spans="7:7" x14ac:dyDescent="0.35">
      <c r="G2419" s="40">
        <f t="shared" si="38"/>
        <v>48615</v>
      </c>
    </row>
    <row r="2420" spans="7:7" x14ac:dyDescent="0.35">
      <c r="G2420" s="40">
        <f t="shared" si="38"/>
        <v>48616</v>
      </c>
    </row>
    <row r="2421" spans="7:7" x14ac:dyDescent="0.35">
      <c r="G2421" s="40">
        <f t="shared" si="38"/>
        <v>48617</v>
      </c>
    </row>
    <row r="2422" spans="7:7" x14ac:dyDescent="0.35">
      <c r="G2422" s="40">
        <f t="shared" si="38"/>
        <v>48618</v>
      </c>
    </row>
    <row r="2423" spans="7:7" x14ac:dyDescent="0.35">
      <c r="G2423" s="40">
        <f t="shared" si="38"/>
        <v>48619</v>
      </c>
    </row>
    <row r="2424" spans="7:7" x14ac:dyDescent="0.35">
      <c r="G2424" s="40">
        <f t="shared" si="38"/>
        <v>48620</v>
      </c>
    </row>
    <row r="2425" spans="7:7" x14ac:dyDescent="0.35">
      <c r="G2425" s="40">
        <f t="shared" si="38"/>
        <v>48621</v>
      </c>
    </row>
    <row r="2426" spans="7:7" x14ac:dyDescent="0.35">
      <c r="G2426" s="40">
        <f t="shared" si="38"/>
        <v>48622</v>
      </c>
    </row>
    <row r="2427" spans="7:7" x14ac:dyDescent="0.35">
      <c r="G2427" s="40">
        <f t="shared" si="38"/>
        <v>48623</v>
      </c>
    </row>
    <row r="2428" spans="7:7" x14ac:dyDescent="0.35">
      <c r="G2428" s="40">
        <f t="shared" si="38"/>
        <v>48624</v>
      </c>
    </row>
    <row r="2429" spans="7:7" x14ac:dyDescent="0.35">
      <c r="G2429" s="40">
        <f t="shared" si="38"/>
        <v>48625</v>
      </c>
    </row>
    <row r="2430" spans="7:7" x14ac:dyDescent="0.35">
      <c r="G2430" s="40">
        <f t="shared" si="38"/>
        <v>48626</v>
      </c>
    </row>
    <row r="2431" spans="7:7" x14ac:dyDescent="0.35">
      <c r="G2431" s="40">
        <f t="shared" si="38"/>
        <v>48627</v>
      </c>
    </row>
    <row r="2432" spans="7:7" x14ac:dyDescent="0.35">
      <c r="G2432" s="40">
        <f t="shared" si="38"/>
        <v>48628</v>
      </c>
    </row>
    <row r="2433" spans="7:7" x14ac:dyDescent="0.35">
      <c r="G2433" s="40">
        <f t="shared" si="38"/>
        <v>48629</v>
      </c>
    </row>
    <row r="2434" spans="7:7" x14ac:dyDescent="0.35">
      <c r="G2434" s="40">
        <f t="shared" si="38"/>
        <v>48630</v>
      </c>
    </row>
    <row r="2435" spans="7:7" x14ac:dyDescent="0.35">
      <c r="G2435" s="40">
        <f t="shared" si="38"/>
        <v>48631</v>
      </c>
    </row>
    <row r="2436" spans="7:7" x14ac:dyDescent="0.35">
      <c r="G2436" s="40">
        <f t="shared" si="38"/>
        <v>48632</v>
      </c>
    </row>
    <row r="2437" spans="7:7" x14ac:dyDescent="0.35">
      <c r="G2437" s="40">
        <f t="shared" ref="G2437:G2500" si="39">G2436+1</f>
        <v>48633</v>
      </c>
    </row>
    <row r="2438" spans="7:7" x14ac:dyDescent="0.35">
      <c r="G2438" s="40">
        <f t="shared" si="39"/>
        <v>48634</v>
      </c>
    </row>
    <row r="2439" spans="7:7" x14ac:dyDescent="0.35">
      <c r="G2439" s="40">
        <f t="shared" si="39"/>
        <v>48635</v>
      </c>
    </row>
    <row r="2440" spans="7:7" x14ac:dyDescent="0.35">
      <c r="G2440" s="40">
        <f t="shared" si="39"/>
        <v>48636</v>
      </c>
    </row>
    <row r="2441" spans="7:7" x14ac:dyDescent="0.35">
      <c r="G2441" s="40">
        <f t="shared" si="39"/>
        <v>48637</v>
      </c>
    </row>
    <row r="2442" spans="7:7" x14ac:dyDescent="0.35">
      <c r="G2442" s="40">
        <f t="shared" si="39"/>
        <v>48638</v>
      </c>
    </row>
    <row r="2443" spans="7:7" x14ac:dyDescent="0.35">
      <c r="G2443" s="40">
        <f t="shared" si="39"/>
        <v>48639</v>
      </c>
    </row>
    <row r="2444" spans="7:7" x14ac:dyDescent="0.35">
      <c r="G2444" s="40">
        <f t="shared" si="39"/>
        <v>48640</v>
      </c>
    </row>
    <row r="2445" spans="7:7" x14ac:dyDescent="0.35">
      <c r="G2445" s="40">
        <f t="shared" si="39"/>
        <v>48641</v>
      </c>
    </row>
    <row r="2446" spans="7:7" x14ac:dyDescent="0.35">
      <c r="G2446" s="40">
        <f t="shared" si="39"/>
        <v>48642</v>
      </c>
    </row>
    <row r="2447" spans="7:7" x14ac:dyDescent="0.35">
      <c r="G2447" s="40">
        <f t="shared" si="39"/>
        <v>48643</v>
      </c>
    </row>
    <row r="2448" spans="7:7" x14ac:dyDescent="0.35">
      <c r="G2448" s="40">
        <f t="shared" si="39"/>
        <v>48644</v>
      </c>
    </row>
    <row r="2449" spans="7:7" x14ac:dyDescent="0.35">
      <c r="G2449" s="40">
        <f t="shared" si="39"/>
        <v>48645</v>
      </c>
    </row>
    <row r="2450" spans="7:7" x14ac:dyDescent="0.35">
      <c r="G2450" s="40">
        <f t="shared" si="39"/>
        <v>48646</v>
      </c>
    </row>
    <row r="2451" spans="7:7" x14ac:dyDescent="0.35">
      <c r="G2451" s="40">
        <f t="shared" si="39"/>
        <v>48647</v>
      </c>
    </row>
    <row r="2452" spans="7:7" x14ac:dyDescent="0.35">
      <c r="G2452" s="40">
        <f t="shared" si="39"/>
        <v>48648</v>
      </c>
    </row>
    <row r="2453" spans="7:7" x14ac:dyDescent="0.35">
      <c r="G2453" s="40">
        <f t="shared" si="39"/>
        <v>48649</v>
      </c>
    </row>
    <row r="2454" spans="7:7" x14ac:dyDescent="0.35">
      <c r="G2454" s="40">
        <f t="shared" si="39"/>
        <v>48650</v>
      </c>
    </row>
    <row r="2455" spans="7:7" x14ac:dyDescent="0.35">
      <c r="G2455" s="40">
        <f t="shared" si="39"/>
        <v>48651</v>
      </c>
    </row>
    <row r="2456" spans="7:7" x14ac:dyDescent="0.35">
      <c r="G2456" s="40">
        <f t="shared" si="39"/>
        <v>48652</v>
      </c>
    </row>
    <row r="2457" spans="7:7" x14ac:dyDescent="0.35">
      <c r="G2457" s="40">
        <f t="shared" si="39"/>
        <v>48653</v>
      </c>
    </row>
    <row r="2458" spans="7:7" x14ac:dyDescent="0.35">
      <c r="G2458" s="40">
        <f t="shared" si="39"/>
        <v>48654</v>
      </c>
    </row>
    <row r="2459" spans="7:7" x14ac:dyDescent="0.35">
      <c r="G2459" s="40">
        <f t="shared" si="39"/>
        <v>48655</v>
      </c>
    </row>
    <row r="2460" spans="7:7" x14ac:dyDescent="0.35">
      <c r="G2460" s="40">
        <f t="shared" si="39"/>
        <v>48656</v>
      </c>
    </row>
    <row r="2461" spans="7:7" x14ac:dyDescent="0.35">
      <c r="G2461" s="40">
        <f t="shared" si="39"/>
        <v>48657</v>
      </c>
    </row>
    <row r="2462" spans="7:7" x14ac:dyDescent="0.35">
      <c r="G2462" s="40">
        <f t="shared" si="39"/>
        <v>48658</v>
      </c>
    </row>
    <row r="2463" spans="7:7" x14ac:dyDescent="0.35">
      <c r="G2463" s="40">
        <f t="shared" si="39"/>
        <v>48659</v>
      </c>
    </row>
    <row r="2464" spans="7:7" x14ac:dyDescent="0.35">
      <c r="G2464" s="40">
        <f t="shared" si="39"/>
        <v>48660</v>
      </c>
    </row>
    <row r="2465" spans="7:7" x14ac:dyDescent="0.35">
      <c r="G2465" s="40">
        <f t="shared" si="39"/>
        <v>48661</v>
      </c>
    </row>
    <row r="2466" spans="7:7" x14ac:dyDescent="0.35">
      <c r="G2466" s="40">
        <f t="shared" si="39"/>
        <v>48662</v>
      </c>
    </row>
    <row r="2467" spans="7:7" x14ac:dyDescent="0.35">
      <c r="G2467" s="40">
        <f t="shared" si="39"/>
        <v>48663</v>
      </c>
    </row>
    <row r="2468" spans="7:7" x14ac:dyDescent="0.35">
      <c r="G2468" s="40">
        <f t="shared" si="39"/>
        <v>48664</v>
      </c>
    </row>
    <row r="2469" spans="7:7" x14ac:dyDescent="0.35">
      <c r="G2469" s="40">
        <f t="shared" si="39"/>
        <v>48665</v>
      </c>
    </row>
    <row r="2470" spans="7:7" x14ac:dyDescent="0.35">
      <c r="G2470" s="40">
        <f t="shared" si="39"/>
        <v>48666</v>
      </c>
    </row>
    <row r="2471" spans="7:7" x14ac:dyDescent="0.35">
      <c r="G2471" s="40">
        <f t="shared" si="39"/>
        <v>48667</v>
      </c>
    </row>
    <row r="2472" spans="7:7" x14ac:dyDescent="0.35">
      <c r="G2472" s="40">
        <f t="shared" si="39"/>
        <v>48668</v>
      </c>
    </row>
    <row r="2473" spans="7:7" x14ac:dyDescent="0.35">
      <c r="G2473" s="40">
        <f t="shared" si="39"/>
        <v>48669</v>
      </c>
    </row>
    <row r="2474" spans="7:7" x14ac:dyDescent="0.35">
      <c r="G2474" s="40">
        <f t="shared" si="39"/>
        <v>48670</v>
      </c>
    </row>
    <row r="2475" spans="7:7" x14ac:dyDescent="0.35">
      <c r="G2475" s="40">
        <f t="shared" si="39"/>
        <v>48671</v>
      </c>
    </row>
    <row r="2476" spans="7:7" x14ac:dyDescent="0.35">
      <c r="G2476" s="40">
        <f t="shared" si="39"/>
        <v>48672</v>
      </c>
    </row>
    <row r="2477" spans="7:7" x14ac:dyDescent="0.35">
      <c r="G2477" s="40">
        <f t="shared" si="39"/>
        <v>48673</v>
      </c>
    </row>
    <row r="2478" spans="7:7" x14ac:dyDescent="0.35">
      <c r="G2478" s="40">
        <f t="shared" si="39"/>
        <v>48674</v>
      </c>
    </row>
    <row r="2479" spans="7:7" x14ac:dyDescent="0.35">
      <c r="G2479" s="40">
        <f t="shared" si="39"/>
        <v>48675</v>
      </c>
    </row>
    <row r="2480" spans="7:7" x14ac:dyDescent="0.35">
      <c r="G2480" s="40">
        <f t="shared" si="39"/>
        <v>48676</v>
      </c>
    </row>
    <row r="2481" spans="7:7" x14ac:dyDescent="0.35">
      <c r="G2481" s="40">
        <f t="shared" si="39"/>
        <v>48677</v>
      </c>
    </row>
    <row r="2482" spans="7:7" x14ac:dyDescent="0.35">
      <c r="G2482" s="40">
        <f t="shared" si="39"/>
        <v>48678</v>
      </c>
    </row>
    <row r="2483" spans="7:7" x14ac:dyDescent="0.35">
      <c r="G2483" s="40">
        <f t="shared" si="39"/>
        <v>48679</v>
      </c>
    </row>
    <row r="2484" spans="7:7" x14ac:dyDescent="0.35">
      <c r="G2484" s="40">
        <f t="shared" si="39"/>
        <v>48680</v>
      </c>
    </row>
    <row r="2485" spans="7:7" x14ac:dyDescent="0.35">
      <c r="G2485" s="40">
        <f t="shared" si="39"/>
        <v>48681</v>
      </c>
    </row>
    <row r="2486" spans="7:7" x14ac:dyDescent="0.35">
      <c r="G2486" s="40">
        <f t="shared" si="39"/>
        <v>48682</v>
      </c>
    </row>
    <row r="2487" spans="7:7" x14ac:dyDescent="0.35">
      <c r="G2487" s="40">
        <f t="shared" si="39"/>
        <v>48683</v>
      </c>
    </row>
    <row r="2488" spans="7:7" x14ac:dyDescent="0.35">
      <c r="G2488" s="40">
        <f t="shared" si="39"/>
        <v>48684</v>
      </c>
    </row>
    <row r="2489" spans="7:7" x14ac:dyDescent="0.35">
      <c r="G2489" s="40">
        <f t="shared" si="39"/>
        <v>48685</v>
      </c>
    </row>
    <row r="2490" spans="7:7" x14ac:dyDescent="0.35">
      <c r="G2490" s="40">
        <f t="shared" si="39"/>
        <v>48686</v>
      </c>
    </row>
    <row r="2491" spans="7:7" x14ac:dyDescent="0.35">
      <c r="G2491" s="40">
        <f t="shared" si="39"/>
        <v>48687</v>
      </c>
    </row>
    <row r="2492" spans="7:7" x14ac:dyDescent="0.35">
      <c r="G2492" s="40">
        <f t="shared" si="39"/>
        <v>48688</v>
      </c>
    </row>
    <row r="2493" spans="7:7" x14ac:dyDescent="0.35">
      <c r="G2493" s="40">
        <f t="shared" si="39"/>
        <v>48689</v>
      </c>
    </row>
    <row r="2494" spans="7:7" x14ac:dyDescent="0.35">
      <c r="G2494" s="40">
        <f t="shared" si="39"/>
        <v>48690</v>
      </c>
    </row>
    <row r="2495" spans="7:7" x14ac:dyDescent="0.35">
      <c r="G2495" s="40">
        <f t="shared" si="39"/>
        <v>48691</v>
      </c>
    </row>
    <row r="2496" spans="7:7" x14ac:dyDescent="0.35">
      <c r="G2496" s="40">
        <f t="shared" si="39"/>
        <v>48692</v>
      </c>
    </row>
    <row r="2497" spans="7:7" x14ac:dyDescent="0.35">
      <c r="G2497" s="40">
        <f t="shared" si="39"/>
        <v>48693</v>
      </c>
    </row>
    <row r="2498" spans="7:7" x14ac:dyDescent="0.35">
      <c r="G2498" s="40">
        <f t="shared" si="39"/>
        <v>48694</v>
      </c>
    </row>
    <row r="2499" spans="7:7" x14ac:dyDescent="0.35">
      <c r="G2499" s="40">
        <f t="shared" si="39"/>
        <v>48695</v>
      </c>
    </row>
    <row r="2500" spans="7:7" x14ac:dyDescent="0.35">
      <c r="G2500" s="40">
        <f t="shared" si="39"/>
        <v>48696</v>
      </c>
    </row>
    <row r="2501" spans="7:7" x14ac:dyDescent="0.35">
      <c r="G2501" s="40">
        <f t="shared" ref="G2501:G2564" si="40">G2500+1</f>
        <v>48697</v>
      </c>
    </row>
    <row r="2502" spans="7:7" x14ac:dyDescent="0.35">
      <c r="G2502" s="40">
        <f t="shared" si="40"/>
        <v>48698</v>
      </c>
    </row>
    <row r="2503" spans="7:7" x14ac:dyDescent="0.35">
      <c r="G2503" s="40">
        <f t="shared" si="40"/>
        <v>48699</v>
      </c>
    </row>
    <row r="2504" spans="7:7" x14ac:dyDescent="0.35">
      <c r="G2504" s="40">
        <f t="shared" si="40"/>
        <v>48700</v>
      </c>
    </row>
    <row r="2505" spans="7:7" x14ac:dyDescent="0.35">
      <c r="G2505" s="40">
        <f t="shared" si="40"/>
        <v>48701</v>
      </c>
    </row>
    <row r="2506" spans="7:7" x14ac:dyDescent="0.35">
      <c r="G2506" s="40">
        <f t="shared" si="40"/>
        <v>48702</v>
      </c>
    </row>
    <row r="2507" spans="7:7" x14ac:dyDescent="0.35">
      <c r="G2507" s="40">
        <f t="shared" si="40"/>
        <v>48703</v>
      </c>
    </row>
    <row r="2508" spans="7:7" x14ac:dyDescent="0.35">
      <c r="G2508" s="40">
        <f t="shared" si="40"/>
        <v>48704</v>
      </c>
    </row>
    <row r="2509" spans="7:7" x14ac:dyDescent="0.35">
      <c r="G2509" s="40">
        <f t="shared" si="40"/>
        <v>48705</v>
      </c>
    </row>
    <row r="2510" spans="7:7" x14ac:dyDescent="0.35">
      <c r="G2510" s="40">
        <f t="shared" si="40"/>
        <v>48706</v>
      </c>
    </row>
    <row r="2511" spans="7:7" x14ac:dyDescent="0.35">
      <c r="G2511" s="40">
        <f t="shared" si="40"/>
        <v>48707</v>
      </c>
    </row>
    <row r="2512" spans="7:7" x14ac:dyDescent="0.35">
      <c r="G2512" s="40">
        <f t="shared" si="40"/>
        <v>48708</v>
      </c>
    </row>
    <row r="2513" spans="7:7" x14ac:dyDescent="0.35">
      <c r="G2513" s="40">
        <f t="shared" si="40"/>
        <v>48709</v>
      </c>
    </row>
    <row r="2514" spans="7:7" x14ac:dyDescent="0.35">
      <c r="G2514" s="40">
        <f t="shared" si="40"/>
        <v>48710</v>
      </c>
    </row>
    <row r="2515" spans="7:7" x14ac:dyDescent="0.35">
      <c r="G2515" s="40">
        <f t="shared" si="40"/>
        <v>48711</v>
      </c>
    </row>
    <row r="2516" spans="7:7" x14ac:dyDescent="0.35">
      <c r="G2516" s="40">
        <f t="shared" si="40"/>
        <v>48712</v>
      </c>
    </row>
    <row r="2517" spans="7:7" x14ac:dyDescent="0.35">
      <c r="G2517" s="40">
        <f t="shared" si="40"/>
        <v>48713</v>
      </c>
    </row>
    <row r="2518" spans="7:7" x14ac:dyDescent="0.35">
      <c r="G2518" s="40">
        <f t="shared" si="40"/>
        <v>48714</v>
      </c>
    </row>
    <row r="2519" spans="7:7" x14ac:dyDescent="0.35">
      <c r="G2519" s="40">
        <f t="shared" si="40"/>
        <v>48715</v>
      </c>
    </row>
    <row r="2520" spans="7:7" x14ac:dyDescent="0.35">
      <c r="G2520" s="40">
        <f t="shared" si="40"/>
        <v>48716</v>
      </c>
    </row>
    <row r="2521" spans="7:7" x14ac:dyDescent="0.35">
      <c r="G2521" s="40">
        <f t="shared" si="40"/>
        <v>48717</v>
      </c>
    </row>
    <row r="2522" spans="7:7" x14ac:dyDescent="0.35">
      <c r="G2522" s="40">
        <f t="shared" si="40"/>
        <v>48718</v>
      </c>
    </row>
    <row r="2523" spans="7:7" x14ac:dyDescent="0.35">
      <c r="G2523" s="40">
        <f t="shared" si="40"/>
        <v>48719</v>
      </c>
    </row>
    <row r="2524" spans="7:7" x14ac:dyDescent="0.35">
      <c r="G2524" s="40">
        <f t="shared" si="40"/>
        <v>48720</v>
      </c>
    </row>
    <row r="2525" spans="7:7" x14ac:dyDescent="0.35">
      <c r="G2525" s="40">
        <f t="shared" si="40"/>
        <v>48721</v>
      </c>
    </row>
    <row r="2526" spans="7:7" x14ac:dyDescent="0.35">
      <c r="G2526" s="40">
        <f t="shared" si="40"/>
        <v>48722</v>
      </c>
    </row>
    <row r="2527" spans="7:7" x14ac:dyDescent="0.35">
      <c r="G2527" s="40">
        <f t="shared" si="40"/>
        <v>48723</v>
      </c>
    </row>
    <row r="2528" spans="7:7" x14ac:dyDescent="0.35">
      <c r="G2528" s="40">
        <f t="shared" si="40"/>
        <v>48724</v>
      </c>
    </row>
    <row r="2529" spans="7:7" x14ac:dyDescent="0.35">
      <c r="G2529" s="40">
        <f t="shared" si="40"/>
        <v>48725</v>
      </c>
    </row>
    <row r="2530" spans="7:7" x14ac:dyDescent="0.35">
      <c r="G2530" s="40">
        <f t="shared" si="40"/>
        <v>48726</v>
      </c>
    </row>
    <row r="2531" spans="7:7" x14ac:dyDescent="0.35">
      <c r="G2531" s="40">
        <f t="shared" si="40"/>
        <v>48727</v>
      </c>
    </row>
    <row r="2532" spans="7:7" x14ac:dyDescent="0.35">
      <c r="G2532" s="40">
        <f t="shared" si="40"/>
        <v>48728</v>
      </c>
    </row>
    <row r="2533" spans="7:7" x14ac:dyDescent="0.35">
      <c r="G2533" s="40">
        <f t="shared" si="40"/>
        <v>48729</v>
      </c>
    </row>
    <row r="2534" spans="7:7" x14ac:dyDescent="0.35">
      <c r="G2534" s="40">
        <f t="shared" si="40"/>
        <v>48730</v>
      </c>
    </row>
    <row r="2535" spans="7:7" x14ac:dyDescent="0.35">
      <c r="G2535" s="40">
        <f t="shared" si="40"/>
        <v>48731</v>
      </c>
    </row>
    <row r="2536" spans="7:7" x14ac:dyDescent="0.35">
      <c r="G2536" s="40">
        <f t="shared" si="40"/>
        <v>48732</v>
      </c>
    </row>
    <row r="2537" spans="7:7" x14ac:dyDescent="0.35">
      <c r="G2537" s="40">
        <f t="shared" si="40"/>
        <v>48733</v>
      </c>
    </row>
    <row r="2538" spans="7:7" x14ac:dyDescent="0.35">
      <c r="G2538" s="40">
        <f t="shared" si="40"/>
        <v>48734</v>
      </c>
    </row>
    <row r="2539" spans="7:7" x14ac:dyDescent="0.35">
      <c r="G2539" s="40">
        <f t="shared" si="40"/>
        <v>48735</v>
      </c>
    </row>
    <row r="2540" spans="7:7" x14ac:dyDescent="0.35">
      <c r="G2540" s="40">
        <f t="shared" si="40"/>
        <v>48736</v>
      </c>
    </row>
    <row r="2541" spans="7:7" x14ac:dyDescent="0.35">
      <c r="G2541" s="40">
        <f t="shared" si="40"/>
        <v>48737</v>
      </c>
    </row>
    <row r="2542" spans="7:7" x14ac:dyDescent="0.35">
      <c r="G2542" s="40">
        <f t="shared" si="40"/>
        <v>48738</v>
      </c>
    </row>
    <row r="2543" spans="7:7" x14ac:dyDescent="0.35">
      <c r="G2543" s="40">
        <f t="shared" si="40"/>
        <v>48739</v>
      </c>
    </row>
    <row r="2544" spans="7:7" x14ac:dyDescent="0.35">
      <c r="G2544" s="40">
        <f t="shared" si="40"/>
        <v>48740</v>
      </c>
    </row>
    <row r="2545" spans="7:7" x14ac:dyDescent="0.35">
      <c r="G2545" s="40">
        <f t="shared" si="40"/>
        <v>48741</v>
      </c>
    </row>
    <row r="2546" spans="7:7" x14ac:dyDescent="0.35">
      <c r="G2546" s="40">
        <f t="shared" si="40"/>
        <v>48742</v>
      </c>
    </row>
    <row r="2547" spans="7:7" x14ac:dyDescent="0.35">
      <c r="G2547" s="40">
        <f t="shared" si="40"/>
        <v>48743</v>
      </c>
    </row>
    <row r="2548" spans="7:7" x14ac:dyDescent="0.35">
      <c r="G2548" s="40">
        <f t="shared" si="40"/>
        <v>48744</v>
      </c>
    </row>
    <row r="2549" spans="7:7" x14ac:dyDescent="0.35">
      <c r="G2549" s="40">
        <f t="shared" si="40"/>
        <v>48745</v>
      </c>
    </row>
    <row r="2550" spans="7:7" x14ac:dyDescent="0.35">
      <c r="G2550" s="40">
        <f t="shared" si="40"/>
        <v>48746</v>
      </c>
    </row>
    <row r="2551" spans="7:7" x14ac:dyDescent="0.35">
      <c r="G2551" s="40">
        <f t="shared" si="40"/>
        <v>48747</v>
      </c>
    </row>
    <row r="2552" spans="7:7" x14ac:dyDescent="0.35">
      <c r="G2552" s="40">
        <f t="shared" si="40"/>
        <v>48748</v>
      </c>
    </row>
    <row r="2553" spans="7:7" x14ac:dyDescent="0.35">
      <c r="G2553" s="40">
        <f t="shared" si="40"/>
        <v>48749</v>
      </c>
    </row>
    <row r="2554" spans="7:7" x14ac:dyDescent="0.35">
      <c r="G2554" s="40">
        <f t="shared" si="40"/>
        <v>48750</v>
      </c>
    </row>
    <row r="2555" spans="7:7" x14ac:dyDescent="0.35">
      <c r="G2555" s="40">
        <f t="shared" si="40"/>
        <v>48751</v>
      </c>
    </row>
    <row r="2556" spans="7:7" x14ac:dyDescent="0.35">
      <c r="G2556" s="40">
        <f t="shared" si="40"/>
        <v>48752</v>
      </c>
    </row>
    <row r="2557" spans="7:7" x14ac:dyDescent="0.35">
      <c r="G2557" s="40">
        <f t="shared" si="40"/>
        <v>48753</v>
      </c>
    </row>
    <row r="2558" spans="7:7" x14ac:dyDescent="0.35">
      <c r="G2558" s="40">
        <f t="shared" si="40"/>
        <v>48754</v>
      </c>
    </row>
    <row r="2559" spans="7:7" x14ac:dyDescent="0.35">
      <c r="G2559" s="40">
        <f t="shared" si="40"/>
        <v>48755</v>
      </c>
    </row>
    <row r="2560" spans="7:7" x14ac:dyDescent="0.35">
      <c r="G2560" s="40">
        <f t="shared" si="40"/>
        <v>48756</v>
      </c>
    </row>
    <row r="2561" spans="7:7" x14ac:dyDescent="0.35">
      <c r="G2561" s="40">
        <f t="shared" si="40"/>
        <v>48757</v>
      </c>
    </row>
    <row r="2562" spans="7:7" x14ac:dyDescent="0.35">
      <c r="G2562" s="40">
        <f t="shared" si="40"/>
        <v>48758</v>
      </c>
    </row>
    <row r="2563" spans="7:7" x14ac:dyDescent="0.35">
      <c r="G2563" s="40">
        <f t="shared" si="40"/>
        <v>48759</v>
      </c>
    </row>
    <row r="2564" spans="7:7" x14ac:dyDescent="0.35">
      <c r="G2564" s="40">
        <f t="shared" si="40"/>
        <v>48760</v>
      </c>
    </row>
    <row r="2565" spans="7:7" x14ac:dyDescent="0.35">
      <c r="G2565" s="40">
        <f t="shared" ref="G2565:G2628" si="41">G2564+1</f>
        <v>48761</v>
      </c>
    </row>
    <row r="2566" spans="7:7" x14ac:dyDescent="0.35">
      <c r="G2566" s="40">
        <f t="shared" si="41"/>
        <v>48762</v>
      </c>
    </row>
    <row r="2567" spans="7:7" x14ac:dyDescent="0.35">
      <c r="G2567" s="40">
        <f t="shared" si="41"/>
        <v>48763</v>
      </c>
    </row>
    <row r="2568" spans="7:7" x14ac:dyDescent="0.35">
      <c r="G2568" s="40">
        <f t="shared" si="41"/>
        <v>48764</v>
      </c>
    </row>
    <row r="2569" spans="7:7" x14ac:dyDescent="0.35">
      <c r="G2569" s="40">
        <f t="shared" si="41"/>
        <v>48765</v>
      </c>
    </row>
    <row r="2570" spans="7:7" x14ac:dyDescent="0.35">
      <c r="G2570" s="40">
        <f t="shared" si="41"/>
        <v>48766</v>
      </c>
    </row>
    <row r="2571" spans="7:7" x14ac:dyDescent="0.35">
      <c r="G2571" s="40">
        <f t="shared" si="41"/>
        <v>48767</v>
      </c>
    </row>
    <row r="2572" spans="7:7" x14ac:dyDescent="0.35">
      <c r="G2572" s="40">
        <f t="shared" si="41"/>
        <v>48768</v>
      </c>
    </row>
    <row r="2573" spans="7:7" x14ac:dyDescent="0.35">
      <c r="G2573" s="40">
        <f t="shared" si="41"/>
        <v>48769</v>
      </c>
    </row>
    <row r="2574" spans="7:7" x14ac:dyDescent="0.35">
      <c r="G2574" s="40">
        <f t="shared" si="41"/>
        <v>48770</v>
      </c>
    </row>
    <row r="2575" spans="7:7" x14ac:dyDescent="0.35">
      <c r="G2575" s="40">
        <f t="shared" si="41"/>
        <v>48771</v>
      </c>
    </row>
    <row r="2576" spans="7:7" x14ac:dyDescent="0.35">
      <c r="G2576" s="40">
        <f t="shared" si="41"/>
        <v>48772</v>
      </c>
    </row>
    <row r="2577" spans="7:7" x14ac:dyDescent="0.35">
      <c r="G2577" s="40">
        <f t="shared" si="41"/>
        <v>48773</v>
      </c>
    </row>
    <row r="2578" spans="7:7" x14ac:dyDescent="0.35">
      <c r="G2578" s="40">
        <f t="shared" si="41"/>
        <v>48774</v>
      </c>
    </row>
    <row r="2579" spans="7:7" x14ac:dyDescent="0.35">
      <c r="G2579" s="40">
        <f t="shared" si="41"/>
        <v>48775</v>
      </c>
    </row>
    <row r="2580" spans="7:7" x14ac:dyDescent="0.35">
      <c r="G2580" s="40">
        <f t="shared" si="41"/>
        <v>48776</v>
      </c>
    </row>
    <row r="2581" spans="7:7" x14ac:dyDescent="0.35">
      <c r="G2581" s="40">
        <f t="shared" si="41"/>
        <v>48777</v>
      </c>
    </row>
    <row r="2582" spans="7:7" x14ac:dyDescent="0.35">
      <c r="G2582" s="40">
        <f t="shared" si="41"/>
        <v>48778</v>
      </c>
    </row>
    <row r="2583" spans="7:7" x14ac:dyDescent="0.35">
      <c r="G2583" s="40">
        <f t="shared" si="41"/>
        <v>48779</v>
      </c>
    </row>
    <row r="2584" spans="7:7" x14ac:dyDescent="0.35">
      <c r="G2584" s="40">
        <f t="shared" si="41"/>
        <v>48780</v>
      </c>
    </row>
    <row r="2585" spans="7:7" x14ac:dyDescent="0.35">
      <c r="G2585" s="40">
        <f t="shared" si="41"/>
        <v>48781</v>
      </c>
    </row>
    <row r="2586" spans="7:7" x14ac:dyDescent="0.35">
      <c r="G2586" s="40">
        <f t="shared" si="41"/>
        <v>48782</v>
      </c>
    </row>
    <row r="2587" spans="7:7" x14ac:dyDescent="0.35">
      <c r="G2587" s="40">
        <f t="shared" si="41"/>
        <v>48783</v>
      </c>
    </row>
    <row r="2588" spans="7:7" x14ac:dyDescent="0.35">
      <c r="G2588" s="40">
        <f t="shared" si="41"/>
        <v>48784</v>
      </c>
    </row>
    <row r="2589" spans="7:7" x14ac:dyDescent="0.35">
      <c r="G2589" s="40">
        <f t="shared" si="41"/>
        <v>48785</v>
      </c>
    </row>
    <row r="2590" spans="7:7" x14ac:dyDescent="0.35">
      <c r="G2590" s="40">
        <f t="shared" si="41"/>
        <v>48786</v>
      </c>
    </row>
    <row r="2591" spans="7:7" x14ac:dyDescent="0.35">
      <c r="G2591" s="40">
        <f t="shared" si="41"/>
        <v>48787</v>
      </c>
    </row>
    <row r="2592" spans="7:7" x14ac:dyDescent="0.35">
      <c r="G2592" s="40">
        <f t="shared" si="41"/>
        <v>48788</v>
      </c>
    </row>
    <row r="2593" spans="7:7" x14ac:dyDescent="0.35">
      <c r="G2593" s="40">
        <f t="shared" si="41"/>
        <v>48789</v>
      </c>
    </row>
    <row r="2594" spans="7:7" x14ac:dyDescent="0.35">
      <c r="G2594" s="40">
        <f t="shared" si="41"/>
        <v>48790</v>
      </c>
    </row>
    <row r="2595" spans="7:7" x14ac:dyDescent="0.35">
      <c r="G2595" s="40">
        <f t="shared" si="41"/>
        <v>48791</v>
      </c>
    </row>
    <row r="2596" spans="7:7" x14ac:dyDescent="0.35">
      <c r="G2596" s="40">
        <f t="shared" si="41"/>
        <v>48792</v>
      </c>
    </row>
    <row r="2597" spans="7:7" x14ac:dyDescent="0.35">
      <c r="G2597" s="40">
        <f t="shared" si="41"/>
        <v>48793</v>
      </c>
    </row>
    <row r="2598" spans="7:7" x14ac:dyDescent="0.35">
      <c r="G2598" s="40">
        <f t="shared" si="41"/>
        <v>48794</v>
      </c>
    </row>
    <row r="2599" spans="7:7" x14ac:dyDescent="0.35">
      <c r="G2599" s="40">
        <f t="shared" si="41"/>
        <v>48795</v>
      </c>
    </row>
    <row r="2600" spans="7:7" x14ac:dyDescent="0.35">
      <c r="G2600" s="40">
        <f t="shared" si="41"/>
        <v>48796</v>
      </c>
    </row>
    <row r="2601" spans="7:7" x14ac:dyDescent="0.35">
      <c r="G2601" s="40">
        <f t="shared" si="41"/>
        <v>48797</v>
      </c>
    </row>
    <row r="2602" spans="7:7" x14ac:dyDescent="0.35">
      <c r="G2602" s="40">
        <f t="shared" si="41"/>
        <v>48798</v>
      </c>
    </row>
    <row r="2603" spans="7:7" x14ac:dyDescent="0.35">
      <c r="G2603" s="40">
        <f t="shared" si="41"/>
        <v>48799</v>
      </c>
    </row>
    <row r="2604" spans="7:7" x14ac:dyDescent="0.35">
      <c r="G2604" s="40">
        <f t="shared" si="41"/>
        <v>48800</v>
      </c>
    </row>
    <row r="2605" spans="7:7" x14ac:dyDescent="0.35">
      <c r="G2605" s="40">
        <f t="shared" si="41"/>
        <v>48801</v>
      </c>
    </row>
    <row r="2606" spans="7:7" x14ac:dyDescent="0.35">
      <c r="G2606" s="40">
        <f t="shared" si="41"/>
        <v>48802</v>
      </c>
    </row>
    <row r="2607" spans="7:7" x14ac:dyDescent="0.35">
      <c r="G2607" s="40">
        <f t="shared" si="41"/>
        <v>48803</v>
      </c>
    </row>
    <row r="2608" spans="7:7" x14ac:dyDescent="0.35">
      <c r="G2608" s="40">
        <f t="shared" si="41"/>
        <v>48804</v>
      </c>
    </row>
    <row r="2609" spans="7:7" x14ac:dyDescent="0.35">
      <c r="G2609" s="40">
        <f t="shared" si="41"/>
        <v>48805</v>
      </c>
    </row>
    <row r="2610" spans="7:7" x14ac:dyDescent="0.35">
      <c r="G2610" s="40">
        <f t="shared" si="41"/>
        <v>48806</v>
      </c>
    </row>
    <row r="2611" spans="7:7" x14ac:dyDescent="0.35">
      <c r="G2611" s="40">
        <f t="shared" si="41"/>
        <v>48807</v>
      </c>
    </row>
    <row r="2612" spans="7:7" x14ac:dyDescent="0.35">
      <c r="G2612" s="40">
        <f t="shared" si="41"/>
        <v>48808</v>
      </c>
    </row>
    <row r="2613" spans="7:7" x14ac:dyDescent="0.35">
      <c r="G2613" s="40">
        <f t="shared" si="41"/>
        <v>48809</v>
      </c>
    </row>
    <row r="2614" spans="7:7" x14ac:dyDescent="0.35">
      <c r="G2614" s="40">
        <f t="shared" si="41"/>
        <v>48810</v>
      </c>
    </row>
    <row r="2615" spans="7:7" x14ac:dyDescent="0.35">
      <c r="G2615" s="40">
        <f t="shared" si="41"/>
        <v>48811</v>
      </c>
    </row>
    <row r="2616" spans="7:7" x14ac:dyDescent="0.35">
      <c r="G2616" s="40">
        <f t="shared" si="41"/>
        <v>48812</v>
      </c>
    </row>
    <row r="2617" spans="7:7" x14ac:dyDescent="0.35">
      <c r="G2617" s="40">
        <f t="shared" si="41"/>
        <v>48813</v>
      </c>
    </row>
    <row r="2618" spans="7:7" x14ac:dyDescent="0.35">
      <c r="G2618" s="40">
        <f t="shared" si="41"/>
        <v>48814</v>
      </c>
    </row>
    <row r="2619" spans="7:7" x14ac:dyDescent="0.35">
      <c r="G2619" s="40">
        <f t="shared" si="41"/>
        <v>48815</v>
      </c>
    </row>
    <row r="2620" spans="7:7" x14ac:dyDescent="0.35">
      <c r="G2620" s="40">
        <f t="shared" si="41"/>
        <v>48816</v>
      </c>
    </row>
    <row r="2621" spans="7:7" x14ac:dyDescent="0.35">
      <c r="G2621" s="40">
        <f t="shared" si="41"/>
        <v>48817</v>
      </c>
    </row>
    <row r="2622" spans="7:7" x14ac:dyDescent="0.35">
      <c r="G2622" s="40">
        <f t="shared" si="41"/>
        <v>48818</v>
      </c>
    </row>
    <row r="2623" spans="7:7" x14ac:dyDescent="0.35">
      <c r="G2623" s="40">
        <f t="shared" si="41"/>
        <v>48819</v>
      </c>
    </row>
    <row r="2624" spans="7:7" x14ac:dyDescent="0.35">
      <c r="G2624" s="40">
        <f t="shared" si="41"/>
        <v>48820</v>
      </c>
    </row>
    <row r="2625" spans="7:7" x14ac:dyDescent="0.35">
      <c r="G2625" s="40">
        <f t="shared" si="41"/>
        <v>48821</v>
      </c>
    </row>
    <row r="2626" spans="7:7" x14ac:dyDescent="0.35">
      <c r="G2626" s="40">
        <f t="shared" si="41"/>
        <v>48822</v>
      </c>
    </row>
    <row r="2627" spans="7:7" x14ac:dyDescent="0.35">
      <c r="G2627" s="40">
        <f t="shared" si="41"/>
        <v>48823</v>
      </c>
    </row>
    <row r="2628" spans="7:7" x14ac:dyDescent="0.35">
      <c r="G2628" s="40">
        <f t="shared" si="41"/>
        <v>48824</v>
      </c>
    </row>
    <row r="2629" spans="7:7" x14ac:dyDescent="0.35">
      <c r="G2629" s="40">
        <f t="shared" ref="G2629:G2692" si="42">G2628+1</f>
        <v>48825</v>
      </c>
    </row>
    <row r="2630" spans="7:7" x14ac:dyDescent="0.35">
      <c r="G2630" s="40">
        <f t="shared" si="42"/>
        <v>48826</v>
      </c>
    </row>
    <row r="2631" spans="7:7" x14ac:dyDescent="0.35">
      <c r="G2631" s="40">
        <f t="shared" si="42"/>
        <v>48827</v>
      </c>
    </row>
    <row r="2632" spans="7:7" x14ac:dyDescent="0.35">
      <c r="G2632" s="40">
        <f t="shared" si="42"/>
        <v>48828</v>
      </c>
    </row>
    <row r="2633" spans="7:7" x14ac:dyDescent="0.35">
      <c r="G2633" s="40">
        <f t="shared" si="42"/>
        <v>48829</v>
      </c>
    </row>
    <row r="2634" spans="7:7" x14ac:dyDescent="0.35">
      <c r="G2634" s="40">
        <f t="shared" si="42"/>
        <v>48830</v>
      </c>
    </row>
    <row r="2635" spans="7:7" x14ac:dyDescent="0.35">
      <c r="G2635" s="40">
        <f t="shared" si="42"/>
        <v>48831</v>
      </c>
    </row>
    <row r="2636" spans="7:7" x14ac:dyDescent="0.35">
      <c r="G2636" s="40">
        <f t="shared" si="42"/>
        <v>48832</v>
      </c>
    </row>
    <row r="2637" spans="7:7" x14ac:dyDescent="0.35">
      <c r="G2637" s="40">
        <f t="shared" si="42"/>
        <v>48833</v>
      </c>
    </row>
    <row r="2638" spans="7:7" x14ac:dyDescent="0.35">
      <c r="G2638" s="40">
        <f t="shared" si="42"/>
        <v>48834</v>
      </c>
    </row>
    <row r="2639" spans="7:7" x14ac:dyDescent="0.35">
      <c r="G2639" s="40">
        <f t="shared" si="42"/>
        <v>48835</v>
      </c>
    </row>
    <row r="2640" spans="7:7" x14ac:dyDescent="0.35">
      <c r="G2640" s="40">
        <f t="shared" si="42"/>
        <v>48836</v>
      </c>
    </row>
    <row r="2641" spans="7:7" x14ac:dyDescent="0.35">
      <c r="G2641" s="40">
        <f t="shared" si="42"/>
        <v>48837</v>
      </c>
    </row>
    <row r="2642" spans="7:7" x14ac:dyDescent="0.35">
      <c r="G2642" s="40">
        <f t="shared" si="42"/>
        <v>48838</v>
      </c>
    </row>
    <row r="2643" spans="7:7" x14ac:dyDescent="0.35">
      <c r="G2643" s="40">
        <f t="shared" si="42"/>
        <v>48839</v>
      </c>
    </row>
    <row r="2644" spans="7:7" x14ac:dyDescent="0.35">
      <c r="G2644" s="40">
        <f t="shared" si="42"/>
        <v>48840</v>
      </c>
    </row>
    <row r="2645" spans="7:7" x14ac:dyDescent="0.35">
      <c r="G2645" s="40">
        <f t="shared" si="42"/>
        <v>48841</v>
      </c>
    </row>
    <row r="2646" spans="7:7" x14ac:dyDescent="0.35">
      <c r="G2646" s="40">
        <f t="shared" si="42"/>
        <v>48842</v>
      </c>
    </row>
    <row r="2647" spans="7:7" x14ac:dyDescent="0.35">
      <c r="G2647" s="40">
        <f t="shared" si="42"/>
        <v>48843</v>
      </c>
    </row>
    <row r="2648" spans="7:7" x14ac:dyDescent="0.35">
      <c r="G2648" s="40">
        <f t="shared" si="42"/>
        <v>48844</v>
      </c>
    </row>
    <row r="2649" spans="7:7" x14ac:dyDescent="0.35">
      <c r="G2649" s="40">
        <f t="shared" si="42"/>
        <v>48845</v>
      </c>
    </row>
    <row r="2650" spans="7:7" x14ac:dyDescent="0.35">
      <c r="G2650" s="40">
        <f t="shared" si="42"/>
        <v>48846</v>
      </c>
    </row>
    <row r="2651" spans="7:7" x14ac:dyDescent="0.35">
      <c r="G2651" s="40">
        <f t="shared" si="42"/>
        <v>48847</v>
      </c>
    </row>
    <row r="2652" spans="7:7" x14ac:dyDescent="0.35">
      <c r="G2652" s="40">
        <f t="shared" si="42"/>
        <v>48848</v>
      </c>
    </row>
    <row r="2653" spans="7:7" x14ac:dyDescent="0.35">
      <c r="G2653" s="40">
        <f t="shared" si="42"/>
        <v>48849</v>
      </c>
    </row>
    <row r="2654" spans="7:7" x14ac:dyDescent="0.35">
      <c r="G2654" s="40">
        <f t="shared" si="42"/>
        <v>48850</v>
      </c>
    </row>
    <row r="2655" spans="7:7" x14ac:dyDescent="0.35">
      <c r="G2655" s="40">
        <f t="shared" si="42"/>
        <v>48851</v>
      </c>
    </row>
    <row r="2656" spans="7:7" x14ac:dyDescent="0.35">
      <c r="G2656" s="40">
        <f t="shared" si="42"/>
        <v>48852</v>
      </c>
    </row>
    <row r="2657" spans="7:7" x14ac:dyDescent="0.35">
      <c r="G2657" s="40">
        <f t="shared" si="42"/>
        <v>48853</v>
      </c>
    </row>
    <row r="2658" spans="7:7" x14ac:dyDescent="0.35">
      <c r="G2658" s="40">
        <f t="shared" si="42"/>
        <v>48854</v>
      </c>
    </row>
    <row r="2659" spans="7:7" x14ac:dyDescent="0.35">
      <c r="G2659" s="40">
        <f t="shared" si="42"/>
        <v>48855</v>
      </c>
    </row>
    <row r="2660" spans="7:7" x14ac:dyDescent="0.35">
      <c r="G2660" s="40">
        <f t="shared" si="42"/>
        <v>48856</v>
      </c>
    </row>
    <row r="2661" spans="7:7" x14ac:dyDescent="0.35">
      <c r="G2661" s="40">
        <f t="shared" si="42"/>
        <v>48857</v>
      </c>
    </row>
    <row r="2662" spans="7:7" x14ac:dyDescent="0.35">
      <c r="G2662" s="40">
        <f t="shared" si="42"/>
        <v>48858</v>
      </c>
    </row>
    <row r="2663" spans="7:7" x14ac:dyDescent="0.35">
      <c r="G2663" s="40">
        <f t="shared" si="42"/>
        <v>48859</v>
      </c>
    </row>
    <row r="2664" spans="7:7" x14ac:dyDescent="0.35">
      <c r="G2664" s="40">
        <f t="shared" si="42"/>
        <v>48860</v>
      </c>
    </row>
    <row r="2665" spans="7:7" x14ac:dyDescent="0.35">
      <c r="G2665" s="40">
        <f t="shared" si="42"/>
        <v>48861</v>
      </c>
    </row>
    <row r="2666" spans="7:7" x14ac:dyDescent="0.35">
      <c r="G2666" s="40">
        <f t="shared" si="42"/>
        <v>48862</v>
      </c>
    </row>
    <row r="2667" spans="7:7" x14ac:dyDescent="0.35">
      <c r="G2667" s="40">
        <f t="shared" si="42"/>
        <v>48863</v>
      </c>
    </row>
    <row r="2668" spans="7:7" x14ac:dyDescent="0.35">
      <c r="G2668" s="40">
        <f t="shared" si="42"/>
        <v>48864</v>
      </c>
    </row>
    <row r="2669" spans="7:7" x14ac:dyDescent="0.35">
      <c r="G2669" s="40">
        <f t="shared" si="42"/>
        <v>48865</v>
      </c>
    </row>
    <row r="2670" spans="7:7" x14ac:dyDescent="0.35">
      <c r="G2670" s="40">
        <f t="shared" si="42"/>
        <v>48866</v>
      </c>
    </row>
    <row r="2671" spans="7:7" x14ac:dyDescent="0.35">
      <c r="G2671" s="40">
        <f t="shared" si="42"/>
        <v>48867</v>
      </c>
    </row>
    <row r="2672" spans="7:7" x14ac:dyDescent="0.35">
      <c r="G2672" s="40">
        <f t="shared" si="42"/>
        <v>48868</v>
      </c>
    </row>
    <row r="2673" spans="7:7" x14ac:dyDescent="0.35">
      <c r="G2673" s="40">
        <f t="shared" si="42"/>
        <v>48869</v>
      </c>
    </row>
    <row r="2674" spans="7:7" x14ac:dyDescent="0.35">
      <c r="G2674" s="40">
        <f t="shared" si="42"/>
        <v>48870</v>
      </c>
    </row>
    <row r="2675" spans="7:7" x14ac:dyDescent="0.35">
      <c r="G2675" s="40">
        <f t="shared" si="42"/>
        <v>48871</v>
      </c>
    </row>
    <row r="2676" spans="7:7" x14ac:dyDescent="0.35">
      <c r="G2676" s="40">
        <f t="shared" si="42"/>
        <v>48872</v>
      </c>
    </row>
    <row r="2677" spans="7:7" x14ac:dyDescent="0.35">
      <c r="G2677" s="40">
        <f t="shared" si="42"/>
        <v>48873</v>
      </c>
    </row>
    <row r="2678" spans="7:7" x14ac:dyDescent="0.35">
      <c r="G2678" s="40">
        <f t="shared" si="42"/>
        <v>48874</v>
      </c>
    </row>
    <row r="2679" spans="7:7" x14ac:dyDescent="0.35">
      <c r="G2679" s="40">
        <f t="shared" si="42"/>
        <v>48875</v>
      </c>
    </row>
    <row r="2680" spans="7:7" x14ac:dyDescent="0.35">
      <c r="G2680" s="40">
        <f t="shared" si="42"/>
        <v>48876</v>
      </c>
    </row>
    <row r="2681" spans="7:7" x14ac:dyDescent="0.35">
      <c r="G2681" s="40">
        <f t="shared" si="42"/>
        <v>48877</v>
      </c>
    </row>
    <row r="2682" spans="7:7" x14ac:dyDescent="0.35">
      <c r="G2682" s="40">
        <f t="shared" si="42"/>
        <v>48878</v>
      </c>
    </row>
    <row r="2683" spans="7:7" x14ac:dyDescent="0.35">
      <c r="G2683" s="40">
        <f t="shared" si="42"/>
        <v>48879</v>
      </c>
    </row>
    <row r="2684" spans="7:7" x14ac:dyDescent="0.35">
      <c r="G2684" s="40">
        <f t="shared" si="42"/>
        <v>48880</v>
      </c>
    </row>
    <row r="2685" spans="7:7" x14ac:dyDescent="0.35">
      <c r="G2685" s="40">
        <f t="shared" si="42"/>
        <v>48881</v>
      </c>
    </row>
    <row r="2686" spans="7:7" x14ac:dyDescent="0.35">
      <c r="G2686" s="40">
        <f t="shared" si="42"/>
        <v>48882</v>
      </c>
    </row>
    <row r="2687" spans="7:7" x14ac:dyDescent="0.35">
      <c r="G2687" s="40">
        <f t="shared" si="42"/>
        <v>48883</v>
      </c>
    </row>
    <row r="2688" spans="7:7" x14ac:dyDescent="0.35">
      <c r="G2688" s="40">
        <f t="shared" si="42"/>
        <v>48884</v>
      </c>
    </row>
    <row r="2689" spans="7:7" x14ac:dyDescent="0.35">
      <c r="G2689" s="40">
        <f t="shared" si="42"/>
        <v>48885</v>
      </c>
    </row>
    <row r="2690" spans="7:7" x14ac:dyDescent="0.35">
      <c r="G2690" s="40">
        <f t="shared" si="42"/>
        <v>48886</v>
      </c>
    </row>
    <row r="2691" spans="7:7" x14ac:dyDescent="0.35">
      <c r="G2691" s="40">
        <f t="shared" si="42"/>
        <v>48887</v>
      </c>
    </row>
    <row r="2692" spans="7:7" x14ac:dyDescent="0.35">
      <c r="G2692" s="40">
        <f t="shared" si="42"/>
        <v>48888</v>
      </c>
    </row>
    <row r="2693" spans="7:7" x14ac:dyDescent="0.35">
      <c r="G2693" s="40">
        <f t="shared" ref="G2693:G2756" si="43">G2692+1</f>
        <v>48889</v>
      </c>
    </row>
    <row r="2694" spans="7:7" x14ac:dyDescent="0.35">
      <c r="G2694" s="40">
        <f t="shared" si="43"/>
        <v>48890</v>
      </c>
    </row>
    <row r="2695" spans="7:7" x14ac:dyDescent="0.35">
      <c r="G2695" s="40">
        <f t="shared" si="43"/>
        <v>48891</v>
      </c>
    </row>
    <row r="2696" spans="7:7" x14ac:dyDescent="0.35">
      <c r="G2696" s="40">
        <f t="shared" si="43"/>
        <v>48892</v>
      </c>
    </row>
    <row r="2697" spans="7:7" x14ac:dyDescent="0.35">
      <c r="G2697" s="40">
        <f t="shared" si="43"/>
        <v>48893</v>
      </c>
    </row>
    <row r="2698" spans="7:7" x14ac:dyDescent="0.35">
      <c r="G2698" s="40">
        <f t="shared" si="43"/>
        <v>48894</v>
      </c>
    </row>
    <row r="2699" spans="7:7" x14ac:dyDescent="0.35">
      <c r="G2699" s="40">
        <f t="shared" si="43"/>
        <v>48895</v>
      </c>
    </row>
    <row r="2700" spans="7:7" x14ac:dyDescent="0.35">
      <c r="G2700" s="40">
        <f t="shared" si="43"/>
        <v>48896</v>
      </c>
    </row>
    <row r="2701" spans="7:7" x14ac:dyDescent="0.35">
      <c r="G2701" s="40">
        <f t="shared" si="43"/>
        <v>48897</v>
      </c>
    </row>
    <row r="2702" spans="7:7" x14ac:dyDescent="0.35">
      <c r="G2702" s="40">
        <f t="shared" si="43"/>
        <v>48898</v>
      </c>
    </row>
    <row r="2703" spans="7:7" x14ac:dyDescent="0.35">
      <c r="G2703" s="40">
        <f t="shared" si="43"/>
        <v>48899</v>
      </c>
    </row>
    <row r="2704" spans="7:7" x14ac:dyDescent="0.35">
      <c r="G2704" s="40">
        <f t="shared" si="43"/>
        <v>48900</v>
      </c>
    </row>
    <row r="2705" spans="7:7" x14ac:dyDescent="0.35">
      <c r="G2705" s="40">
        <f t="shared" si="43"/>
        <v>48901</v>
      </c>
    </row>
    <row r="2706" spans="7:7" x14ac:dyDescent="0.35">
      <c r="G2706" s="40">
        <f t="shared" si="43"/>
        <v>48902</v>
      </c>
    </row>
    <row r="2707" spans="7:7" x14ac:dyDescent="0.35">
      <c r="G2707" s="40">
        <f t="shared" si="43"/>
        <v>48903</v>
      </c>
    </row>
    <row r="2708" spans="7:7" x14ac:dyDescent="0.35">
      <c r="G2708" s="40">
        <f t="shared" si="43"/>
        <v>48904</v>
      </c>
    </row>
    <row r="2709" spans="7:7" x14ac:dyDescent="0.35">
      <c r="G2709" s="40">
        <f t="shared" si="43"/>
        <v>48905</v>
      </c>
    </row>
    <row r="2710" spans="7:7" x14ac:dyDescent="0.35">
      <c r="G2710" s="40">
        <f t="shared" si="43"/>
        <v>48906</v>
      </c>
    </row>
    <row r="2711" spans="7:7" x14ac:dyDescent="0.35">
      <c r="G2711" s="40">
        <f t="shared" si="43"/>
        <v>48907</v>
      </c>
    </row>
    <row r="2712" spans="7:7" x14ac:dyDescent="0.35">
      <c r="G2712" s="40">
        <f t="shared" si="43"/>
        <v>48908</v>
      </c>
    </row>
    <row r="2713" spans="7:7" x14ac:dyDescent="0.35">
      <c r="G2713" s="40">
        <f t="shared" si="43"/>
        <v>48909</v>
      </c>
    </row>
    <row r="2714" spans="7:7" x14ac:dyDescent="0.35">
      <c r="G2714" s="40">
        <f t="shared" si="43"/>
        <v>48910</v>
      </c>
    </row>
    <row r="2715" spans="7:7" x14ac:dyDescent="0.35">
      <c r="G2715" s="40">
        <f t="shared" si="43"/>
        <v>48911</v>
      </c>
    </row>
    <row r="2716" spans="7:7" x14ac:dyDescent="0.35">
      <c r="G2716" s="40">
        <f t="shared" si="43"/>
        <v>48912</v>
      </c>
    </row>
    <row r="2717" spans="7:7" x14ac:dyDescent="0.35">
      <c r="G2717" s="40">
        <f t="shared" si="43"/>
        <v>48913</v>
      </c>
    </row>
    <row r="2718" spans="7:7" x14ac:dyDescent="0.35">
      <c r="G2718" s="40">
        <f t="shared" si="43"/>
        <v>48914</v>
      </c>
    </row>
    <row r="2719" spans="7:7" x14ac:dyDescent="0.35">
      <c r="G2719" s="40">
        <f t="shared" si="43"/>
        <v>48915</v>
      </c>
    </row>
    <row r="2720" spans="7:7" x14ac:dyDescent="0.35">
      <c r="G2720" s="40">
        <f t="shared" si="43"/>
        <v>48916</v>
      </c>
    </row>
    <row r="2721" spans="7:7" x14ac:dyDescent="0.35">
      <c r="G2721" s="40">
        <f t="shared" si="43"/>
        <v>48917</v>
      </c>
    </row>
    <row r="2722" spans="7:7" x14ac:dyDescent="0.35">
      <c r="G2722" s="40">
        <f t="shared" si="43"/>
        <v>48918</v>
      </c>
    </row>
    <row r="2723" spans="7:7" x14ac:dyDescent="0.35">
      <c r="G2723" s="40">
        <f t="shared" si="43"/>
        <v>48919</v>
      </c>
    </row>
    <row r="2724" spans="7:7" x14ac:dyDescent="0.35">
      <c r="G2724" s="40">
        <f t="shared" si="43"/>
        <v>48920</v>
      </c>
    </row>
    <row r="2725" spans="7:7" x14ac:dyDescent="0.35">
      <c r="G2725" s="40">
        <f t="shared" si="43"/>
        <v>48921</v>
      </c>
    </row>
    <row r="2726" spans="7:7" x14ac:dyDescent="0.35">
      <c r="G2726" s="40">
        <f t="shared" si="43"/>
        <v>48922</v>
      </c>
    </row>
    <row r="2727" spans="7:7" x14ac:dyDescent="0.35">
      <c r="G2727" s="40">
        <f t="shared" si="43"/>
        <v>48923</v>
      </c>
    </row>
    <row r="2728" spans="7:7" x14ac:dyDescent="0.35">
      <c r="G2728" s="40">
        <f t="shared" si="43"/>
        <v>48924</v>
      </c>
    </row>
    <row r="2729" spans="7:7" x14ac:dyDescent="0.35">
      <c r="G2729" s="40">
        <f t="shared" si="43"/>
        <v>48925</v>
      </c>
    </row>
    <row r="2730" spans="7:7" x14ac:dyDescent="0.35">
      <c r="G2730" s="40">
        <f t="shared" si="43"/>
        <v>48926</v>
      </c>
    </row>
    <row r="2731" spans="7:7" x14ac:dyDescent="0.35">
      <c r="G2731" s="40">
        <f t="shared" si="43"/>
        <v>48927</v>
      </c>
    </row>
    <row r="2732" spans="7:7" x14ac:dyDescent="0.35">
      <c r="G2732" s="40">
        <f t="shared" si="43"/>
        <v>48928</v>
      </c>
    </row>
    <row r="2733" spans="7:7" x14ac:dyDescent="0.35">
      <c r="G2733" s="40">
        <f t="shared" si="43"/>
        <v>48929</v>
      </c>
    </row>
    <row r="2734" spans="7:7" x14ac:dyDescent="0.35">
      <c r="G2734" s="40">
        <f t="shared" si="43"/>
        <v>48930</v>
      </c>
    </row>
    <row r="2735" spans="7:7" x14ac:dyDescent="0.35">
      <c r="G2735" s="40">
        <f t="shared" si="43"/>
        <v>48931</v>
      </c>
    </row>
    <row r="2736" spans="7:7" x14ac:dyDescent="0.35">
      <c r="G2736" s="40">
        <f t="shared" si="43"/>
        <v>48932</v>
      </c>
    </row>
    <row r="2737" spans="7:7" x14ac:dyDescent="0.35">
      <c r="G2737" s="40">
        <f t="shared" si="43"/>
        <v>48933</v>
      </c>
    </row>
    <row r="2738" spans="7:7" x14ac:dyDescent="0.35">
      <c r="G2738" s="40">
        <f t="shared" si="43"/>
        <v>48934</v>
      </c>
    </row>
    <row r="2739" spans="7:7" x14ac:dyDescent="0.35">
      <c r="G2739" s="40">
        <f t="shared" si="43"/>
        <v>48935</v>
      </c>
    </row>
    <row r="2740" spans="7:7" x14ac:dyDescent="0.35">
      <c r="G2740" s="40">
        <f t="shared" si="43"/>
        <v>48936</v>
      </c>
    </row>
    <row r="2741" spans="7:7" x14ac:dyDescent="0.35">
      <c r="G2741" s="40">
        <f t="shared" si="43"/>
        <v>48937</v>
      </c>
    </row>
    <row r="2742" spans="7:7" x14ac:dyDescent="0.35">
      <c r="G2742" s="40">
        <f t="shared" si="43"/>
        <v>48938</v>
      </c>
    </row>
    <row r="2743" spans="7:7" x14ac:dyDescent="0.35">
      <c r="G2743" s="40">
        <f t="shared" si="43"/>
        <v>48939</v>
      </c>
    </row>
    <row r="2744" spans="7:7" x14ac:dyDescent="0.35">
      <c r="G2744" s="40">
        <f t="shared" si="43"/>
        <v>48940</v>
      </c>
    </row>
    <row r="2745" spans="7:7" x14ac:dyDescent="0.35">
      <c r="G2745" s="40">
        <f t="shared" si="43"/>
        <v>48941</v>
      </c>
    </row>
    <row r="2746" spans="7:7" x14ac:dyDescent="0.35">
      <c r="G2746" s="40">
        <f t="shared" si="43"/>
        <v>48942</v>
      </c>
    </row>
    <row r="2747" spans="7:7" x14ac:dyDescent="0.35">
      <c r="G2747" s="40">
        <f t="shared" si="43"/>
        <v>48943</v>
      </c>
    </row>
    <row r="2748" spans="7:7" x14ac:dyDescent="0.35">
      <c r="G2748" s="40">
        <f t="shared" si="43"/>
        <v>48944</v>
      </c>
    </row>
    <row r="2749" spans="7:7" x14ac:dyDescent="0.35">
      <c r="G2749" s="40">
        <f t="shared" si="43"/>
        <v>48945</v>
      </c>
    </row>
    <row r="2750" spans="7:7" x14ac:dyDescent="0.35">
      <c r="G2750" s="40">
        <f t="shared" si="43"/>
        <v>48946</v>
      </c>
    </row>
    <row r="2751" spans="7:7" x14ac:dyDescent="0.35">
      <c r="G2751" s="40">
        <f t="shared" si="43"/>
        <v>48947</v>
      </c>
    </row>
    <row r="2752" spans="7:7" x14ac:dyDescent="0.35">
      <c r="G2752" s="40">
        <f t="shared" si="43"/>
        <v>48948</v>
      </c>
    </row>
    <row r="2753" spans="7:7" x14ac:dyDescent="0.35">
      <c r="G2753" s="40">
        <f t="shared" si="43"/>
        <v>48949</v>
      </c>
    </row>
    <row r="2754" spans="7:7" x14ac:dyDescent="0.35">
      <c r="G2754" s="40">
        <f t="shared" si="43"/>
        <v>48950</v>
      </c>
    </row>
    <row r="2755" spans="7:7" x14ac:dyDescent="0.35">
      <c r="G2755" s="40">
        <f t="shared" si="43"/>
        <v>48951</v>
      </c>
    </row>
    <row r="2756" spans="7:7" x14ac:dyDescent="0.35">
      <c r="G2756" s="40">
        <f t="shared" si="43"/>
        <v>48952</v>
      </c>
    </row>
    <row r="2757" spans="7:7" x14ac:dyDescent="0.35">
      <c r="G2757" s="40">
        <f t="shared" ref="G2757:G2767" si="44">G2756+1</f>
        <v>48953</v>
      </c>
    </row>
    <row r="2758" spans="7:7" x14ac:dyDescent="0.35">
      <c r="G2758" s="40">
        <f t="shared" si="44"/>
        <v>48954</v>
      </c>
    </row>
    <row r="2759" spans="7:7" x14ac:dyDescent="0.35">
      <c r="G2759" s="40">
        <f t="shared" si="44"/>
        <v>48955</v>
      </c>
    </row>
    <row r="2760" spans="7:7" x14ac:dyDescent="0.35">
      <c r="G2760" s="40">
        <f t="shared" si="44"/>
        <v>48956</v>
      </c>
    </row>
    <row r="2761" spans="7:7" x14ac:dyDescent="0.35">
      <c r="G2761" s="40">
        <f t="shared" si="44"/>
        <v>48957</v>
      </c>
    </row>
    <row r="2762" spans="7:7" x14ac:dyDescent="0.35">
      <c r="G2762" s="40">
        <f t="shared" si="44"/>
        <v>48958</v>
      </c>
    </row>
    <row r="2763" spans="7:7" x14ac:dyDescent="0.35">
      <c r="G2763" s="40">
        <f t="shared" si="44"/>
        <v>48959</v>
      </c>
    </row>
    <row r="2764" spans="7:7" x14ac:dyDescent="0.35">
      <c r="G2764" s="40">
        <f t="shared" si="44"/>
        <v>48960</v>
      </c>
    </row>
    <row r="2765" spans="7:7" x14ac:dyDescent="0.35">
      <c r="G2765" s="40">
        <f t="shared" si="44"/>
        <v>48961</v>
      </c>
    </row>
    <row r="2766" spans="7:7" x14ac:dyDescent="0.35">
      <c r="G2766" s="40">
        <f t="shared" si="44"/>
        <v>48962</v>
      </c>
    </row>
    <row r="2767" spans="7:7" x14ac:dyDescent="0.35">
      <c r="G2767" s="40">
        <f t="shared" si="44"/>
        <v>48963</v>
      </c>
    </row>
  </sheetData>
  <sheetProtection sheet="1" objects="1" scenarios="1" formatCells="0"/>
  <dataConsolidate/>
  <conditionalFormatting sqref="B217:B223">
    <cfRule type="containsText" dxfId="126" priority="1" operator="containsText" text="Inactif">
      <formula>NOT(ISERROR(SEARCH("Inactif",B217)))</formula>
    </cfRule>
    <cfRule type="cellIs" dxfId="125" priority="2" operator="equal">
      <formula>0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596"/>
  <sheetViews>
    <sheetView showGridLines="0" tabSelected="1" zoomScale="85" zoomScaleNormal="85" workbookViewId="0">
      <pane xSplit="2" ySplit="11" topLeftCell="C15" activePane="bottomRight" state="frozen"/>
      <selection pane="topRight" activeCell="C1" sqref="C1"/>
      <selection pane="bottomLeft" activeCell="A12" sqref="A12"/>
      <selection pane="bottomRight" activeCell="E16" sqref="E16"/>
    </sheetView>
  </sheetViews>
  <sheetFormatPr baseColWidth="10" defaultColWidth="10.81640625" defaultRowHeight="14.5" x14ac:dyDescent="0.35"/>
  <cols>
    <col min="1" max="1" width="2.1796875" style="15" customWidth="1"/>
    <col min="2" max="2" width="0.7265625" style="15" customWidth="1"/>
    <col min="3" max="3" width="10.81640625" style="15"/>
    <col min="4" max="4" width="11.54296875" style="15" customWidth="1"/>
    <col min="5" max="5" width="35.26953125" style="15" customWidth="1"/>
    <col min="6" max="6" width="33.453125" style="15" customWidth="1"/>
    <col min="7" max="7" width="16.81640625" style="15" customWidth="1"/>
    <col min="8" max="8" width="20.453125" style="15" customWidth="1"/>
    <col min="9" max="9" width="20" style="15" customWidth="1"/>
    <col min="10" max="10" width="19.54296875" style="15" customWidth="1"/>
    <col min="11" max="11" width="17.81640625" style="15" customWidth="1"/>
    <col min="12" max="12" width="4.453125" style="15" customWidth="1"/>
    <col min="13" max="13" width="15.453125" style="15" customWidth="1"/>
    <col min="14" max="14" width="22.453125" style="15" customWidth="1"/>
    <col min="15" max="15" width="23.1796875" style="15" customWidth="1"/>
    <col min="16" max="16" width="26.81640625" style="15" bestFit="1" customWidth="1"/>
    <col min="17" max="16384" width="10.81640625" style="15"/>
  </cols>
  <sheetData>
    <row r="1" spans="2:18" ht="17.5" customHeight="1" thickBot="1" x14ac:dyDescent="0.4">
      <c r="K1" s="25"/>
    </row>
    <row r="2" spans="2:18" ht="19.5" thickTop="1" thickBot="1" x14ac:dyDescent="0.5">
      <c r="C2" s="94" t="str">
        <f>Feuil2!L2</f>
        <v>JPS DIEU MERCI</v>
      </c>
      <c r="D2" s="95"/>
      <c r="E2" s="95"/>
      <c r="F2" s="16"/>
      <c r="G2" s="74" t="s">
        <v>246</v>
      </c>
      <c r="H2" s="75"/>
      <c r="I2" s="75"/>
      <c r="J2" s="76"/>
      <c r="K2" s="19"/>
    </row>
    <row r="3" spans="2:18" ht="15.65" customHeight="1" thickTop="1" thickBot="1" x14ac:dyDescent="0.4">
      <c r="C3" s="17" t="s">
        <v>230</v>
      </c>
      <c r="D3" s="103" t="str">
        <f>VLOOKUP($C3,Feuil2!$L$3:$M$8,2,0)</f>
        <v>N° 122, C/MBUNYA, Q. LUMUMBA, AV DELIBERATION</v>
      </c>
      <c r="E3" s="18"/>
      <c r="F3" s="67"/>
      <c r="G3" s="73" t="s">
        <v>250</v>
      </c>
      <c r="H3" s="71">
        <v>109024970</v>
      </c>
      <c r="I3" s="69" t="s">
        <v>251</v>
      </c>
      <c r="J3" s="96">
        <f ca="1">$H$5-TABLE_SYNTHESE[[#Totals],[SOMMES CREDITATION]]</f>
        <v>78998651</v>
      </c>
      <c r="K3" s="19"/>
      <c r="M3" s="85"/>
      <c r="N3" s="86" t="s">
        <v>245</v>
      </c>
      <c r="O3" s="87"/>
      <c r="P3" s="88"/>
      <c r="R3" s="15" t="s">
        <v>255</v>
      </c>
    </row>
    <row r="4" spans="2:18" ht="15.65" customHeight="1" thickTop="1" thickBot="1" x14ac:dyDescent="0.4">
      <c r="C4" s="17" t="s">
        <v>231</v>
      </c>
      <c r="D4" s="103" t="str">
        <f>VLOOKUP($C4,Feuil2!$L$3:$M$8,2,0)</f>
        <v>0997785896 - 0810099378</v>
      </c>
      <c r="E4" s="18"/>
      <c r="F4" s="67"/>
      <c r="G4" s="73"/>
      <c r="H4" s="72"/>
      <c r="I4" s="69"/>
      <c r="J4" s="97"/>
      <c r="K4" s="19"/>
      <c r="M4" s="89" t="s">
        <v>1</v>
      </c>
      <c r="N4" s="90" t="s">
        <v>247</v>
      </c>
      <c r="O4" s="90" t="s">
        <v>243</v>
      </c>
      <c r="P4" s="91" t="s">
        <v>249</v>
      </c>
    </row>
    <row r="5" spans="2:18" ht="15.65" customHeight="1" thickTop="1" thickBot="1" x14ac:dyDescent="0.4">
      <c r="C5" s="17" t="s">
        <v>232</v>
      </c>
      <c r="D5" s="103" t="str">
        <f>VLOOKUP($C5,Feuil2!$L$3:$M$8,2,0)</f>
        <v>A1516146S</v>
      </c>
      <c r="E5" s="18"/>
      <c r="F5" s="67"/>
      <c r="G5" s="38"/>
      <c r="H5" s="99">
        <f ca="1">H3+TABLE_SYNTHESE[[#Totals],[SOMMES APROVISIONNEMENT]]</f>
        <v>787888924</v>
      </c>
      <c r="I5" s="70"/>
      <c r="J5" s="98"/>
      <c r="K5" s="19"/>
      <c r="M5" s="92" t="s">
        <v>4</v>
      </c>
      <c r="N5" s="100">
        <f ca="1">SUMIF('JOURNAL DES OPERATIONS'!$G$12:$I$1595,$M5,'JOURNAL DES OPERATIONS'!$H$12:$H$1595)</f>
        <v>80328900</v>
      </c>
      <c r="O5" s="100">
        <f ca="1">SUMIF('JOURNAL DES OPERATIONS'!$G$12:$I$1595,$M5,'JOURNAL DES OPERATIONS'!$I$12:$I$1595)</f>
        <v>0</v>
      </c>
      <c r="P5" s="101">
        <f ca="1">SUM(N5:O5)</f>
        <v>80328900</v>
      </c>
    </row>
    <row r="6" spans="2:18" ht="15" customHeight="1" thickTop="1" thickBot="1" x14ac:dyDescent="0.4">
      <c r="C6" s="17" t="s">
        <v>233</v>
      </c>
      <c r="D6" s="103" t="str">
        <f>VLOOKUP($C6,Feuil2!$L$3:$M$8,2,0)</f>
        <v>4-93-N18362B</v>
      </c>
      <c r="E6" s="18"/>
      <c r="F6" s="67"/>
      <c r="G6" s="18"/>
      <c r="H6" s="18"/>
      <c r="I6" s="18"/>
      <c r="J6" s="18"/>
      <c r="K6" s="19"/>
      <c r="M6" s="92" t="s">
        <v>19</v>
      </c>
      <c r="N6" s="100">
        <f ca="1">SUMIF('JOURNAL DES OPERATIONS'!$G$12:$I$1595,$M6,'JOURNAL DES OPERATIONS'!$H$12:$H$1595)</f>
        <v>171706465</v>
      </c>
      <c r="O6" s="100">
        <f ca="1">SUMIF('JOURNAL DES OPERATIONS'!$G$12:$I$1595,$M6,'JOURNAL DES OPERATIONS'!$I$12:$I$1595)</f>
        <v>0</v>
      </c>
      <c r="P6" s="101">
        <f ca="1">SUM(N6:O6)</f>
        <v>171706465</v>
      </c>
    </row>
    <row r="7" spans="2:18" ht="16.5" thickTop="1" thickBot="1" x14ac:dyDescent="0.4">
      <c r="C7" s="17" t="s">
        <v>234</v>
      </c>
      <c r="D7" s="103" t="str">
        <f>VLOOKUP($C7,Feuil2!$L$3:$M$8,2,0)</f>
        <v>RCCM CD/BIA/RCCM-17-A-1193</v>
      </c>
      <c r="E7" s="18"/>
      <c r="F7" s="67"/>
      <c r="G7" s="18"/>
      <c r="H7" s="18"/>
      <c r="I7" s="18"/>
      <c r="J7" s="18"/>
      <c r="K7" s="19"/>
      <c r="M7" s="92" t="s">
        <v>5</v>
      </c>
      <c r="N7" s="100">
        <f ca="1">SUMIF('JOURNAL DES OPERATIONS'!$G$12:$I$1595,$M7,'JOURNAL DES OPERATIONS'!$H$12:$H$1595)</f>
        <v>101069527</v>
      </c>
      <c r="O7" s="100">
        <f ca="1">SUMIF('JOURNAL DES OPERATIONS'!$G$12:$I$1595,$M7,'JOURNAL DES OPERATIONS'!$I$12:$I$1595)</f>
        <v>0</v>
      </c>
      <c r="P7" s="101">
        <f ca="1">SUM(N7:O7)</f>
        <v>101069527</v>
      </c>
    </row>
    <row r="8" spans="2:18" ht="16.5" thickTop="1" thickBot="1" x14ac:dyDescent="0.4">
      <c r="C8" s="20" t="s">
        <v>235</v>
      </c>
      <c r="D8" s="104" t="str">
        <f>VLOOKUP($C8,Feuil2!$L$3:$M$8,2,0)</f>
        <v>1252-00584272701-19/CDF/RAWBANK/ETS MSO JPS DM</v>
      </c>
      <c r="E8" s="21"/>
      <c r="F8" s="68"/>
      <c r="G8" s="21"/>
      <c r="H8" s="21"/>
      <c r="I8" s="21"/>
      <c r="J8" s="21"/>
      <c r="K8" s="22"/>
      <c r="M8" s="92" t="s">
        <v>6</v>
      </c>
      <c r="N8" s="100">
        <f ca="1">SUMIF('JOURNAL DES OPERATIONS'!$G$12:$I$1595,$M8,'JOURNAL DES OPERATIONS'!$H$12:$H$1595)</f>
        <v>48689400</v>
      </c>
      <c r="O8" s="100">
        <f ca="1">SUMIF('JOURNAL DES OPERATIONS'!$G$12:$I$1595,$M8,'JOURNAL DES OPERATIONS'!$I$12:$I$1595)</f>
        <v>0</v>
      </c>
      <c r="P8" s="101">
        <f t="shared" ref="P8:P12" ca="1" si="0">SUM(N8:O8)</f>
        <v>48689400</v>
      </c>
    </row>
    <row r="9" spans="2:18" ht="18.649999999999999" customHeight="1" thickTop="1" thickBot="1" x14ac:dyDescent="0.7">
      <c r="B9" s="33"/>
      <c r="C9" s="18"/>
      <c r="D9" s="18"/>
      <c r="E9" s="23"/>
      <c r="F9" s="24" t="s">
        <v>13</v>
      </c>
      <c r="G9" s="23"/>
      <c r="H9" s="23"/>
      <c r="I9" s="23"/>
      <c r="J9" s="19"/>
      <c r="K9" s="19"/>
      <c r="M9" s="92" t="s">
        <v>7</v>
      </c>
      <c r="N9" s="100">
        <f ca="1">SUMIF('JOURNAL DES OPERATIONS'!$G$12:$I$1595,$M9,'JOURNAL DES OPERATIONS'!$H$12:$H$1595)</f>
        <v>249410831</v>
      </c>
      <c r="O9" s="100">
        <f ca="1">SUMIF('JOURNAL DES OPERATIONS'!$G$12:$I$1595,$M9,'JOURNAL DES OPERATIONS'!$I$12:$I$1595)</f>
        <v>352613454</v>
      </c>
      <c r="P9" s="101">
        <f t="shared" ca="1" si="0"/>
        <v>602024285</v>
      </c>
    </row>
    <row r="10" spans="2:18" ht="16.5" thickTop="1" thickBot="1" x14ac:dyDescent="0.4">
      <c r="B10" s="33"/>
      <c r="C10" s="18"/>
      <c r="D10" s="18"/>
      <c r="E10" s="18"/>
      <c r="G10" s="18"/>
      <c r="H10" s="18"/>
      <c r="I10" s="18"/>
      <c r="J10" s="19"/>
      <c r="K10" s="19"/>
      <c r="M10" s="92" t="s">
        <v>8</v>
      </c>
      <c r="N10" s="100">
        <f ca="1">SUMIF('JOURNAL DES OPERATIONS'!$G$12:$I$1595,$M10,'JOURNAL DES OPERATIONS'!$H$12:$H$1595)</f>
        <v>35249200</v>
      </c>
      <c r="O10" s="100">
        <f ca="1">SUMIF('JOURNAL DES OPERATIONS'!$G$12:$I$1595,$M10,'JOURNAL DES OPERATIONS'!$I$12:$I$1595)</f>
        <v>326250500</v>
      </c>
      <c r="P10" s="101">
        <f t="shared" ca="1" si="0"/>
        <v>361499700</v>
      </c>
    </row>
    <row r="11" spans="2:18" ht="16.5" thickTop="1" thickBot="1" x14ac:dyDescent="0.4">
      <c r="C11" s="34" t="s">
        <v>2</v>
      </c>
      <c r="D11" s="35" t="s">
        <v>11</v>
      </c>
      <c r="E11" s="35" t="s">
        <v>20</v>
      </c>
      <c r="F11" s="35" t="s">
        <v>0</v>
      </c>
      <c r="G11" s="35" t="s">
        <v>1</v>
      </c>
      <c r="H11" s="35" t="s">
        <v>248</v>
      </c>
      <c r="I11" s="35" t="s">
        <v>244</v>
      </c>
      <c r="J11" s="35" t="s">
        <v>253</v>
      </c>
      <c r="K11" s="36" t="s">
        <v>252</v>
      </c>
      <c r="M11" s="92" t="s">
        <v>9</v>
      </c>
      <c r="N11" s="100">
        <f ca="1">SUMIF('JOURNAL DES OPERATIONS'!$G$12:$I$1595,$M11,'JOURNAL DES OPERATIONS'!$H$12:$H$1595)</f>
        <v>6415500</v>
      </c>
      <c r="O11" s="100">
        <f ca="1">SUMIF('JOURNAL DES OPERATIONS'!$G$12:$I$1595,$M11,'JOURNAL DES OPERATIONS'!$I$12:$I$1595)</f>
        <v>0</v>
      </c>
      <c r="P11" s="101">
        <f t="shared" ca="1" si="0"/>
        <v>6415500</v>
      </c>
    </row>
    <row r="12" spans="2:18" ht="16.5" thickTop="1" thickBot="1" x14ac:dyDescent="0.4">
      <c r="C12" s="26">
        <v>46202</v>
      </c>
      <c r="D12" s="12">
        <v>95820</v>
      </c>
      <c r="E12" s="105" t="str">
        <f>IFERROR(VLOOKUP($D12,NUMDIST[],2,FALSE),"DA Non trouvéé")</f>
        <v>MONGWALU - MAISON INTEMPORELLE</v>
      </c>
      <c r="F12" s="12" t="s">
        <v>262</v>
      </c>
      <c r="G12" s="12" t="s">
        <v>4</v>
      </c>
      <c r="H12" s="13">
        <v>270700</v>
      </c>
      <c r="I12" s="13">
        <v>0</v>
      </c>
      <c r="J12" s="12" t="s">
        <v>254</v>
      </c>
      <c r="K12" s="28" t="s">
        <v>263</v>
      </c>
      <c r="M12" s="92" t="s">
        <v>10</v>
      </c>
      <c r="N12" s="100">
        <f ca="1">SUMIF('JOURNAL DES OPERATIONS'!$G$12:$I$1595,$M12,'JOURNAL DES OPERATIONS'!$H$12:$H$1595)</f>
        <v>16020450</v>
      </c>
      <c r="O12" s="100">
        <f ca="1">SUMIF('JOURNAL DES OPERATIONS'!$G$12:$I$1595,$M12,'JOURNAL DES OPERATIONS'!$I$12:$I$1595)</f>
        <v>0</v>
      </c>
      <c r="P12" s="101">
        <f t="shared" ca="1" si="0"/>
        <v>16020450</v>
      </c>
    </row>
    <row r="13" spans="2:18" ht="19.5" thickTop="1" thickBot="1" x14ac:dyDescent="0.4">
      <c r="C13" s="27">
        <v>46202</v>
      </c>
      <c r="D13" s="12">
        <v>34597</v>
      </c>
      <c r="E13" s="105" t="str">
        <f>IFERROR(VLOOKUP($D13,NUMDIST[],2,FALSE),"DA Non trouvéé")</f>
        <v>ETABLISSEMENT-  JPS DM BIGO</v>
      </c>
      <c r="F13" s="12" t="s">
        <v>262</v>
      </c>
      <c r="G13" s="14" t="s">
        <v>7</v>
      </c>
      <c r="H13" s="13">
        <v>162000</v>
      </c>
      <c r="I13" s="13">
        <v>0</v>
      </c>
      <c r="J13" s="14" t="s">
        <v>254</v>
      </c>
      <c r="K13" s="28" t="s">
        <v>263</v>
      </c>
      <c r="M13" s="93"/>
      <c r="N13" s="102">
        <f ca="1">SUM(N5:N12)</f>
        <v>708890273</v>
      </c>
      <c r="O13" s="102">
        <f ca="1">SUBTOTAL(109,TABLE_SYNTHESE[SOMMES APROVISIONNEMENT])</f>
        <v>678863954</v>
      </c>
      <c r="P13" s="102">
        <f ca="1">SUBTOTAL(109,TABLE_SYNTHESE[SOMME PAR MODALITE])</f>
        <v>1387754227</v>
      </c>
    </row>
    <row r="14" spans="2:18" ht="15.5" thickTop="1" thickBot="1" x14ac:dyDescent="0.4">
      <c r="C14" s="27">
        <v>46202</v>
      </c>
      <c r="D14" s="12">
        <v>34597</v>
      </c>
      <c r="E14" s="105" t="str">
        <f>IFERROR(VLOOKUP($D14,NUMDIST[],2,FALSE),"DA Non trouvéé")</f>
        <v>ETABLISSEMENT-  JPS DM BIGO</v>
      </c>
      <c r="F14" s="12" t="s">
        <v>262</v>
      </c>
      <c r="G14" s="12" t="s">
        <v>9</v>
      </c>
      <c r="H14" s="13">
        <v>2185500</v>
      </c>
      <c r="I14" s="13">
        <v>0</v>
      </c>
      <c r="J14" s="12" t="s">
        <v>254</v>
      </c>
      <c r="K14" s="28" t="s">
        <v>263</v>
      </c>
    </row>
    <row r="15" spans="2:18" ht="15.5" thickTop="1" thickBot="1" x14ac:dyDescent="0.4">
      <c r="C15" s="27">
        <v>46202</v>
      </c>
      <c r="D15" s="12">
        <v>92122</v>
      </c>
      <c r="E15" s="105" t="str">
        <f>IFERROR(VLOOKUP($D15,NUMDIST[],2,FALSE),"DA Non trouvéé")</f>
        <v>KISANGANI - MONT GOLOGOTA</v>
      </c>
      <c r="F15" s="12" t="s">
        <v>262</v>
      </c>
      <c r="G15" s="14" t="s">
        <v>5</v>
      </c>
      <c r="H15" s="13">
        <v>376000</v>
      </c>
      <c r="I15" s="13">
        <v>0</v>
      </c>
      <c r="J15" s="14" t="s">
        <v>254</v>
      </c>
      <c r="K15" s="28" t="s">
        <v>263</v>
      </c>
    </row>
    <row r="16" spans="2:18" ht="15.5" thickTop="1" thickBot="1" x14ac:dyDescent="0.4">
      <c r="C16" s="27">
        <v>46202</v>
      </c>
      <c r="D16" s="12">
        <v>85827</v>
      </c>
      <c r="E16" s="105" t="str">
        <f>IFERROR(VLOOKUP($D16,NUMDIST[],2,FALSE),"DA Non trouvéé")</f>
        <v>KISANGANI - SHOP LA GRACE</v>
      </c>
      <c r="F16" s="12" t="s">
        <v>262</v>
      </c>
      <c r="G16" s="14" t="s">
        <v>7</v>
      </c>
      <c r="H16" s="13">
        <v>693250</v>
      </c>
      <c r="I16" s="13">
        <v>0</v>
      </c>
      <c r="J16" s="12" t="s">
        <v>254</v>
      </c>
      <c r="K16" s="28" t="s">
        <v>263</v>
      </c>
    </row>
    <row r="17" spans="3:11" ht="15.5" thickTop="1" thickBot="1" x14ac:dyDescent="0.4">
      <c r="C17" s="27">
        <v>46202</v>
      </c>
      <c r="D17" s="12">
        <v>59057</v>
      </c>
      <c r="E17" s="105" t="str">
        <f>IFERROR(VLOOKUP($D17,NUMDIST[],2,FALSE),"DA Non trouvéé")</f>
        <v>ITURI - ETS BJSE</v>
      </c>
      <c r="F17" s="12" t="s">
        <v>262</v>
      </c>
      <c r="G17" s="14" t="s">
        <v>19</v>
      </c>
      <c r="H17" s="13">
        <v>1502500</v>
      </c>
      <c r="I17" s="13">
        <v>0</v>
      </c>
      <c r="J17" s="14" t="s">
        <v>254</v>
      </c>
      <c r="K17" s="28" t="s">
        <v>263</v>
      </c>
    </row>
    <row r="18" spans="3:11" ht="15.5" thickTop="1" thickBot="1" x14ac:dyDescent="0.4">
      <c r="C18" s="27">
        <v>46202</v>
      </c>
      <c r="D18" s="12">
        <v>42152</v>
      </c>
      <c r="E18" s="105" t="str">
        <f>IFERROR(VLOOKUP($D18,NUMDIST[],2,FALSE),"DA Non trouvéé")</f>
        <v>Bunia - Ets SKY</v>
      </c>
      <c r="F18" s="12" t="s">
        <v>262</v>
      </c>
      <c r="G18" s="12" t="s">
        <v>10</v>
      </c>
      <c r="H18" s="13">
        <v>1629000</v>
      </c>
      <c r="I18" s="13">
        <v>0</v>
      </c>
      <c r="J18" s="12" t="s">
        <v>254</v>
      </c>
      <c r="K18" s="28" t="s">
        <v>263</v>
      </c>
    </row>
    <row r="19" spans="3:11" ht="15.5" thickTop="1" thickBot="1" x14ac:dyDescent="0.4">
      <c r="C19" s="27">
        <v>46202</v>
      </c>
      <c r="D19" s="12">
        <v>99337</v>
      </c>
      <c r="E19" s="105" t="str">
        <f>IFERROR(VLOOKUP($D19,NUMDIST[],2,FALSE),"DA Non trouvéé")</f>
        <v>ISIRO - SHOP CHARA HOUSE</v>
      </c>
      <c r="F19" s="12" t="s">
        <v>262</v>
      </c>
      <c r="G19" s="14" t="s">
        <v>7</v>
      </c>
      <c r="H19" s="13">
        <v>2385250</v>
      </c>
      <c r="I19" s="13">
        <v>0</v>
      </c>
      <c r="J19" s="14" t="s">
        <v>254</v>
      </c>
      <c r="K19" s="28" t="s">
        <v>263</v>
      </c>
    </row>
    <row r="20" spans="3:11" ht="15.5" thickTop="1" thickBot="1" x14ac:dyDescent="0.4">
      <c r="C20" s="27">
        <v>46202</v>
      </c>
      <c r="D20" s="12">
        <v>90134</v>
      </c>
      <c r="E20" s="105" t="str">
        <f>IFERROR(VLOOKUP($D20,NUMDIST[],2,FALSE),"DA Non trouvéé")</f>
        <v>KISANGANI - ETS SOLUTION PLUS</v>
      </c>
      <c r="F20" s="12" t="s">
        <v>262</v>
      </c>
      <c r="G20" s="12" t="s">
        <v>4</v>
      </c>
      <c r="H20" s="13">
        <v>300000</v>
      </c>
      <c r="I20" s="13">
        <v>0</v>
      </c>
      <c r="J20" s="12" t="s">
        <v>254</v>
      </c>
      <c r="K20" s="28" t="s">
        <v>263</v>
      </c>
    </row>
    <row r="21" spans="3:11" ht="15.5" thickTop="1" thickBot="1" x14ac:dyDescent="0.4">
      <c r="C21" s="27">
        <v>46202</v>
      </c>
      <c r="D21" s="12">
        <v>36710</v>
      </c>
      <c r="E21" s="105" t="str">
        <f>IFERROR(VLOOKUP($D21,NUMDIST[],2,FALSE),"DA Non trouvéé")</f>
        <v>BUNIA - BOUTIQUE JPS DM</v>
      </c>
      <c r="F21" s="12" t="s">
        <v>262</v>
      </c>
      <c r="G21" s="14" t="s">
        <v>19</v>
      </c>
      <c r="H21" s="13">
        <v>3485100</v>
      </c>
      <c r="I21" s="13">
        <v>0</v>
      </c>
      <c r="J21" s="14" t="s">
        <v>15</v>
      </c>
      <c r="K21" s="28" t="s">
        <v>263</v>
      </c>
    </row>
    <row r="22" spans="3:11" ht="15.5" thickTop="1" thickBot="1" x14ac:dyDescent="0.4">
      <c r="C22" s="27">
        <v>46202</v>
      </c>
      <c r="D22" s="12">
        <v>87500</v>
      </c>
      <c r="E22" s="105" t="str">
        <f>IFERROR(VLOOKUP($D22,NUMDIST[],2,FALSE),"DA Non trouvéé")</f>
        <v>BUNIA - ETS DIEU MERCI</v>
      </c>
      <c r="F22" s="12" t="s">
        <v>262</v>
      </c>
      <c r="G22" s="12" t="s">
        <v>19</v>
      </c>
      <c r="H22" s="13">
        <v>141000</v>
      </c>
      <c r="I22" s="13">
        <v>0</v>
      </c>
      <c r="J22" s="12" t="s">
        <v>254</v>
      </c>
      <c r="K22" s="28" t="s">
        <v>263</v>
      </c>
    </row>
    <row r="23" spans="3:11" ht="15.5" thickTop="1" thickBot="1" x14ac:dyDescent="0.4">
      <c r="C23" s="27">
        <v>46202</v>
      </c>
      <c r="D23" s="12">
        <v>104929</v>
      </c>
      <c r="E23" s="105" t="str">
        <f>IFERROR(VLOOKUP($D23,NUMDIST[],2,FALSE),"DA Non trouvéé")</f>
        <v>KISANGANI - THEODOR BUSINESS</v>
      </c>
      <c r="F23" s="12" t="s">
        <v>262</v>
      </c>
      <c r="G23" s="14" t="s">
        <v>4</v>
      </c>
      <c r="H23" s="13">
        <v>164500</v>
      </c>
      <c r="I23" s="13">
        <v>0</v>
      </c>
      <c r="J23" s="14" t="s">
        <v>254</v>
      </c>
      <c r="K23" s="28" t="s">
        <v>263</v>
      </c>
    </row>
    <row r="24" spans="3:11" ht="15.5" thickTop="1" thickBot="1" x14ac:dyDescent="0.4">
      <c r="C24" s="27">
        <v>46202</v>
      </c>
      <c r="D24" s="12">
        <v>71084</v>
      </c>
      <c r="E24" s="105" t="str">
        <f>IFERROR(VLOOKUP($D24,NUMDIST[],2,FALSE),"DA Non trouvéé")</f>
        <v>DURBA - Ets HUSSUMA BUSINESS</v>
      </c>
      <c r="F24" s="12" t="s">
        <v>262</v>
      </c>
      <c r="G24" s="12" t="s">
        <v>7</v>
      </c>
      <c r="H24" s="13">
        <v>11916850</v>
      </c>
      <c r="I24" s="13">
        <v>0</v>
      </c>
      <c r="J24" s="12" t="s">
        <v>254</v>
      </c>
      <c r="K24" s="28" t="s">
        <v>263</v>
      </c>
    </row>
    <row r="25" spans="3:11" ht="15.5" thickTop="1" thickBot="1" x14ac:dyDescent="0.4">
      <c r="C25" s="27">
        <v>46202</v>
      </c>
      <c r="D25" s="14">
        <v>85837</v>
      </c>
      <c r="E25" s="105" t="str">
        <f>IFERROR(VLOOKUP($D25,NUMDIST[],2,FALSE),"DA Non trouvéé")</f>
        <v>BENI - SHOP ESPERANCE</v>
      </c>
      <c r="F25" s="12" t="s">
        <v>262</v>
      </c>
      <c r="G25" s="12" t="s">
        <v>19</v>
      </c>
      <c r="H25" s="13">
        <v>470000</v>
      </c>
      <c r="I25" s="13">
        <v>0</v>
      </c>
      <c r="J25" s="14" t="s">
        <v>15</v>
      </c>
      <c r="K25" s="28" t="s">
        <v>263</v>
      </c>
    </row>
    <row r="26" spans="3:11" ht="15.5" thickTop="1" thickBot="1" x14ac:dyDescent="0.4">
      <c r="C26" s="27">
        <v>46202</v>
      </c>
      <c r="D26" s="12">
        <v>87013</v>
      </c>
      <c r="E26" s="105" t="str">
        <f>IFERROR(VLOOKUP($D26,NUMDIST[],2,FALSE),"DA Non trouvéé")</f>
        <v>BUNIA - JC SANS TACHES</v>
      </c>
      <c r="F26" s="12" t="s">
        <v>262</v>
      </c>
      <c r="G26" s="14" t="s">
        <v>4</v>
      </c>
      <c r="H26" s="13">
        <v>420000</v>
      </c>
      <c r="I26" s="13">
        <v>0</v>
      </c>
      <c r="J26" s="12" t="s">
        <v>254</v>
      </c>
      <c r="K26" s="28" t="s">
        <v>263</v>
      </c>
    </row>
    <row r="27" spans="3:11" ht="15.5" thickTop="1" thickBot="1" x14ac:dyDescent="0.4">
      <c r="C27" s="27">
        <v>46202</v>
      </c>
      <c r="D27" s="14">
        <v>104190</v>
      </c>
      <c r="E27" s="105" t="str">
        <f>IFERROR(VLOOKUP($D27,NUMDIST[],2,FALSE),"DA Non trouvéé")</f>
        <v>NYAWERA CANAL SHOP</v>
      </c>
      <c r="F27" s="12" t="s">
        <v>262</v>
      </c>
      <c r="G27" s="12" t="s">
        <v>7</v>
      </c>
      <c r="H27" s="13">
        <v>940000</v>
      </c>
      <c r="I27" s="13">
        <v>0</v>
      </c>
      <c r="J27" s="14" t="s">
        <v>254</v>
      </c>
      <c r="K27" s="28" t="s">
        <v>263</v>
      </c>
    </row>
    <row r="28" spans="3:11" ht="15.5" thickTop="1" thickBot="1" x14ac:dyDescent="0.4">
      <c r="C28" s="27">
        <v>46202</v>
      </c>
      <c r="D28" s="12">
        <v>104788</v>
      </c>
      <c r="E28" s="105" t="str">
        <f>IFERROR(VLOOKUP($D28,NUMDIST[],2,FALSE),"DA Non trouvéé")</f>
        <v>BUNIA - ETS DON DE DIEU</v>
      </c>
      <c r="F28" s="12" t="s">
        <v>262</v>
      </c>
      <c r="G28" s="14" t="s">
        <v>19</v>
      </c>
      <c r="H28" s="13">
        <v>235000</v>
      </c>
      <c r="I28" s="13">
        <v>0</v>
      </c>
      <c r="J28" s="12" t="s">
        <v>15</v>
      </c>
      <c r="K28" s="28" t="s">
        <v>263</v>
      </c>
    </row>
    <row r="29" spans="3:11" ht="15.5" thickTop="1" thickBot="1" x14ac:dyDescent="0.4">
      <c r="C29" s="27">
        <v>46202</v>
      </c>
      <c r="D29" s="14">
        <v>60372</v>
      </c>
      <c r="E29" s="105" t="str">
        <f>IFERROR(VLOOKUP($D29,NUMDIST[],2,FALSE),"DA Non trouvéé")</f>
        <v>KAMITUGA - LA NOSTALGIE</v>
      </c>
      <c r="F29" s="12" t="s">
        <v>262</v>
      </c>
      <c r="G29" s="12" t="s">
        <v>5</v>
      </c>
      <c r="H29" s="13">
        <v>235000</v>
      </c>
      <c r="I29" s="13">
        <v>0</v>
      </c>
      <c r="J29" s="14" t="s">
        <v>254</v>
      </c>
      <c r="K29" s="28" t="s">
        <v>263</v>
      </c>
    </row>
    <row r="30" spans="3:11" ht="15.5" thickTop="1" thickBot="1" x14ac:dyDescent="0.4">
      <c r="C30" s="27">
        <v>46202</v>
      </c>
      <c r="D30" s="12">
        <v>36272</v>
      </c>
      <c r="E30" s="105" t="str">
        <f>IFERROR(VLOOKUP($D30,NUMDIST[],2,FALSE),"DA Non trouvéé")</f>
        <v>BUNIA - JPS DM</v>
      </c>
      <c r="F30" s="12" t="s">
        <v>264</v>
      </c>
      <c r="G30" s="14" t="s">
        <v>8</v>
      </c>
      <c r="H30" s="13">
        <v>0</v>
      </c>
      <c r="I30" s="13">
        <v>70500000</v>
      </c>
      <c r="J30" s="12" t="s">
        <v>254</v>
      </c>
      <c r="K30" s="28" t="s">
        <v>276</v>
      </c>
    </row>
    <row r="31" spans="3:11" ht="15.5" thickTop="1" thickBot="1" x14ac:dyDescent="0.4">
      <c r="C31" s="27">
        <v>46202</v>
      </c>
      <c r="D31" s="14">
        <v>55349</v>
      </c>
      <c r="E31" s="105" t="str">
        <f>IFERROR(VLOOKUP($D31,NUMDIST[],2,FALSE),"DA Non trouvéé")</f>
        <v>ISIRO - LES AMIS</v>
      </c>
      <c r="F31" s="14" t="s">
        <v>262</v>
      </c>
      <c r="G31" s="12" t="s">
        <v>7</v>
      </c>
      <c r="H31" s="13">
        <v>1175000</v>
      </c>
      <c r="I31" s="13">
        <v>0</v>
      </c>
      <c r="J31" s="14" t="s">
        <v>254</v>
      </c>
      <c r="K31" s="28" t="s">
        <v>263</v>
      </c>
    </row>
    <row r="32" spans="3:11" ht="15.5" thickTop="1" thickBot="1" x14ac:dyDescent="0.4">
      <c r="C32" s="27">
        <v>46202</v>
      </c>
      <c r="D32" s="12">
        <v>87012</v>
      </c>
      <c r="E32" s="105" t="str">
        <f>IFERROR(VLOOKUP($D32,NUMDIST[],2,FALSE),"DA Non trouvéé")</f>
        <v>BUNIA - ETS AIGLE</v>
      </c>
      <c r="F32" s="14" t="s">
        <v>262</v>
      </c>
      <c r="G32" s="14" t="s">
        <v>4</v>
      </c>
      <c r="H32" s="13">
        <v>235000</v>
      </c>
      <c r="I32" s="13">
        <v>0</v>
      </c>
      <c r="J32" s="12" t="s">
        <v>254</v>
      </c>
      <c r="K32" s="28" t="s">
        <v>263</v>
      </c>
    </row>
    <row r="33" spans="3:11" ht="15.5" thickTop="1" thickBot="1" x14ac:dyDescent="0.4">
      <c r="C33" s="27">
        <v>46202</v>
      </c>
      <c r="D33" s="14">
        <v>90185</v>
      </c>
      <c r="E33" s="105" t="str">
        <f>IFERROR(VLOOKUP($D33,NUMDIST[],2,FALSE),"DA Non trouvéé")</f>
        <v>DJUGU - CHEZ ROBERT</v>
      </c>
      <c r="F33" s="14" t="s">
        <v>262</v>
      </c>
      <c r="G33" s="12" t="s">
        <v>4</v>
      </c>
      <c r="H33" s="13">
        <v>470000</v>
      </c>
      <c r="I33" s="13">
        <v>0</v>
      </c>
      <c r="J33" s="14" t="s">
        <v>254</v>
      </c>
      <c r="K33" s="28" t="s">
        <v>263</v>
      </c>
    </row>
    <row r="34" spans="3:11" ht="15.5" thickTop="1" thickBot="1" x14ac:dyDescent="0.4">
      <c r="C34" s="27">
        <v>46202</v>
      </c>
      <c r="D34" s="12">
        <v>55351</v>
      </c>
      <c r="E34" s="105" t="str">
        <f>IFERROR(VLOOKUP($D34,NUMDIST[],2,FALSE),"DA Non trouvéé")</f>
        <v>ITURI - PARADOXE BUSINESS</v>
      </c>
      <c r="F34" s="14" t="s">
        <v>262</v>
      </c>
      <c r="G34" s="14" t="s">
        <v>8</v>
      </c>
      <c r="H34" s="13">
        <v>705000</v>
      </c>
      <c r="I34" s="13">
        <v>0</v>
      </c>
      <c r="J34" s="12" t="s">
        <v>254</v>
      </c>
      <c r="K34" s="28" t="s">
        <v>263</v>
      </c>
    </row>
    <row r="35" spans="3:11" ht="15.5" thickTop="1" thickBot="1" x14ac:dyDescent="0.4">
      <c r="C35" s="27">
        <v>46202</v>
      </c>
      <c r="D35" s="14">
        <v>91770</v>
      </c>
      <c r="E35" s="105" t="str">
        <f>IFERROR(VLOOKUP($D35,NUMDIST[],2,FALSE),"DA Non trouvéé")</f>
        <v>BUKAVU - MAISON JULIEN BS</v>
      </c>
      <c r="F35" s="14" t="s">
        <v>262</v>
      </c>
      <c r="G35" s="12" t="s">
        <v>5</v>
      </c>
      <c r="H35" s="13">
        <v>282000</v>
      </c>
      <c r="I35" s="13">
        <v>0</v>
      </c>
      <c r="J35" s="14" t="s">
        <v>254</v>
      </c>
      <c r="K35" s="28" t="s">
        <v>263</v>
      </c>
    </row>
    <row r="36" spans="3:11" ht="15.5" thickTop="1" thickBot="1" x14ac:dyDescent="0.4">
      <c r="C36" s="27">
        <v>46202</v>
      </c>
      <c r="D36" s="12">
        <v>104828</v>
      </c>
      <c r="E36" s="105" t="str">
        <f>IFERROR(VLOOKUP($D36,NUMDIST[],2,FALSE),"DA Non trouvéé")</f>
        <v>WAMBA - MAISON OKAPI</v>
      </c>
      <c r="F36" s="14" t="s">
        <v>262</v>
      </c>
      <c r="G36" s="14" t="s">
        <v>4</v>
      </c>
      <c r="H36" s="13">
        <v>90000</v>
      </c>
      <c r="I36" s="13">
        <v>0</v>
      </c>
      <c r="J36" s="12" t="s">
        <v>254</v>
      </c>
      <c r="K36" s="28" t="s">
        <v>263</v>
      </c>
    </row>
    <row r="37" spans="3:11" ht="15.5" thickTop="1" thickBot="1" x14ac:dyDescent="0.4">
      <c r="C37" s="27">
        <v>46202</v>
      </c>
      <c r="D37" s="14">
        <v>36430</v>
      </c>
      <c r="E37" s="105" t="str">
        <f>IFERROR(VLOOKUP($D37,NUMDIST[],2,FALSE),"DA Non trouvéé")</f>
        <v>Bunia - ETS BOTOAFINE</v>
      </c>
      <c r="F37" s="14" t="s">
        <v>262</v>
      </c>
      <c r="G37" s="12" t="s">
        <v>19</v>
      </c>
      <c r="H37" s="13">
        <v>117500</v>
      </c>
      <c r="I37" s="13">
        <v>0</v>
      </c>
      <c r="J37" s="14" t="s">
        <v>254</v>
      </c>
      <c r="K37" s="28" t="s">
        <v>263</v>
      </c>
    </row>
    <row r="38" spans="3:11" ht="15.5" thickTop="1" thickBot="1" x14ac:dyDescent="0.4">
      <c r="C38" s="27">
        <v>46202</v>
      </c>
      <c r="D38" s="12">
        <v>32928</v>
      </c>
      <c r="E38" s="105" t="str">
        <f>IFERROR(VLOOKUP($D38,NUMDIST[],2,FALSE),"DA Non trouvéé")</f>
        <v>KISANGANI - SHOP ESCALIER</v>
      </c>
      <c r="F38" s="14" t="s">
        <v>262</v>
      </c>
      <c r="G38" s="12" t="s">
        <v>5</v>
      </c>
      <c r="H38" s="13">
        <v>1410000</v>
      </c>
      <c r="I38" s="13">
        <v>0</v>
      </c>
      <c r="J38" s="12" t="s">
        <v>254</v>
      </c>
      <c r="K38" s="28" t="s">
        <v>263</v>
      </c>
    </row>
    <row r="39" spans="3:11" ht="15.5" thickTop="1" thickBot="1" x14ac:dyDescent="0.4">
      <c r="C39" s="27">
        <v>46202</v>
      </c>
      <c r="D39" s="14">
        <v>36433</v>
      </c>
      <c r="E39" s="105" t="str">
        <f>IFERROR(VLOOKUP($D39,NUMDIST[],2,FALSE),"DA Non trouvéé")</f>
        <v>BUNIA - CHEZ JUSTIN</v>
      </c>
      <c r="F39" s="14" t="s">
        <v>262</v>
      </c>
      <c r="G39" s="14" t="s">
        <v>7</v>
      </c>
      <c r="H39" s="13">
        <v>2350000</v>
      </c>
      <c r="I39" s="13">
        <v>0</v>
      </c>
      <c r="J39" s="14" t="s">
        <v>254</v>
      </c>
      <c r="K39" s="28" t="s">
        <v>263</v>
      </c>
    </row>
    <row r="40" spans="3:11" ht="15.5" thickTop="1" thickBot="1" x14ac:dyDescent="0.4">
      <c r="C40" s="27">
        <v>46202</v>
      </c>
      <c r="D40" s="12">
        <v>91399</v>
      </c>
      <c r="E40" s="105" t="str">
        <f>IFERROR(VLOOKUP($D40,NUMDIST[],2,FALSE),"DA Non trouvéé")</f>
        <v>GOMA - SHOP SIKJOE</v>
      </c>
      <c r="F40" s="14" t="s">
        <v>262</v>
      </c>
      <c r="G40" s="12" t="s">
        <v>5</v>
      </c>
      <c r="H40" s="13">
        <v>235000</v>
      </c>
      <c r="I40" s="13">
        <v>0</v>
      </c>
      <c r="J40" s="12" t="s">
        <v>254</v>
      </c>
      <c r="K40" s="28" t="s">
        <v>263</v>
      </c>
    </row>
    <row r="41" spans="3:11" ht="15.5" thickTop="1" thickBot="1" x14ac:dyDescent="0.4">
      <c r="C41" s="27">
        <v>46202</v>
      </c>
      <c r="D41" s="14">
        <v>42153</v>
      </c>
      <c r="E41" s="105" t="str">
        <f>IFERROR(VLOOKUP($D41,NUMDIST[],2,FALSE),"DA Non trouvéé")</f>
        <v>BUNIA - ETS SALEM</v>
      </c>
      <c r="F41" s="14" t="s">
        <v>262</v>
      </c>
      <c r="G41" s="14" t="s">
        <v>4</v>
      </c>
      <c r="H41" s="13">
        <v>282000</v>
      </c>
      <c r="I41" s="13">
        <v>0</v>
      </c>
      <c r="J41" s="14" t="s">
        <v>254</v>
      </c>
      <c r="K41" s="28" t="s">
        <v>263</v>
      </c>
    </row>
    <row r="42" spans="3:11" ht="15.5" thickTop="1" thickBot="1" x14ac:dyDescent="0.4">
      <c r="C42" s="27">
        <v>46202</v>
      </c>
      <c r="D42" s="12">
        <v>93938</v>
      </c>
      <c r="E42" s="105" t="str">
        <f>IFERROR(VLOOKUP($D42,NUMDIST[],2,FALSE),"DA Non trouvéé")</f>
        <v>ARIWARA - ETS GIFT AZUR</v>
      </c>
      <c r="F42" s="14" t="s">
        <v>262</v>
      </c>
      <c r="G42" s="12" t="s">
        <v>4</v>
      </c>
      <c r="H42" s="13">
        <v>634500</v>
      </c>
      <c r="I42" s="13">
        <v>0</v>
      </c>
      <c r="J42" s="12" t="s">
        <v>254</v>
      </c>
      <c r="K42" s="28" t="s">
        <v>263</v>
      </c>
    </row>
    <row r="43" spans="3:11" ht="15.5" thickTop="1" thickBot="1" x14ac:dyDescent="0.4">
      <c r="C43" s="27">
        <v>46202</v>
      </c>
      <c r="D43" s="14">
        <v>36433</v>
      </c>
      <c r="E43" s="105" t="str">
        <f>IFERROR(VLOOKUP($D43,NUMDIST[],2,FALSE),"DA Non trouvéé")</f>
        <v>BUNIA - CHEZ JUSTIN</v>
      </c>
      <c r="F43" s="14" t="s">
        <v>262</v>
      </c>
      <c r="G43" s="14" t="s">
        <v>5</v>
      </c>
      <c r="H43" s="13">
        <v>1175000</v>
      </c>
      <c r="I43" s="13">
        <v>0</v>
      </c>
      <c r="J43" s="14" t="s">
        <v>254</v>
      </c>
      <c r="K43" s="28" t="s">
        <v>263</v>
      </c>
    </row>
    <row r="44" spans="3:11" ht="15.5" thickTop="1" thickBot="1" x14ac:dyDescent="0.4">
      <c r="C44" s="27">
        <v>46202</v>
      </c>
      <c r="D44" s="12">
        <v>85827</v>
      </c>
      <c r="E44" s="105" t="str">
        <f>IFERROR(VLOOKUP($D44,NUMDIST[],2,FALSE),"DA Non trouvéé")</f>
        <v>KISANGANI - SHOP LA GRACE</v>
      </c>
      <c r="F44" s="14" t="s">
        <v>262</v>
      </c>
      <c r="G44" s="12" t="s">
        <v>4</v>
      </c>
      <c r="H44" s="13">
        <v>587500</v>
      </c>
      <c r="I44" s="13">
        <v>0</v>
      </c>
      <c r="J44" s="12" t="s">
        <v>254</v>
      </c>
      <c r="K44" s="28" t="s">
        <v>263</v>
      </c>
    </row>
    <row r="45" spans="3:11" ht="15.5" thickTop="1" thickBot="1" x14ac:dyDescent="0.4">
      <c r="C45" s="27">
        <v>46202</v>
      </c>
      <c r="D45" s="14">
        <v>103979</v>
      </c>
      <c r="E45" s="105" t="str">
        <f>IFERROR(VLOOKUP($D45,NUMDIST[],2,FALSE),"DA Non trouvéé")</f>
        <v>ARU -SHOP ELOHIM</v>
      </c>
      <c r="F45" s="14" t="s">
        <v>262</v>
      </c>
      <c r="G45" s="14" t="s">
        <v>4</v>
      </c>
      <c r="H45" s="13">
        <v>235000</v>
      </c>
      <c r="I45" s="13">
        <v>0</v>
      </c>
      <c r="J45" s="14" t="s">
        <v>254</v>
      </c>
      <c r="K45" s="28" t="s">
        <v>263</v>
      </c>
    </row>
    <row r="46" spans="3:11" ht="15.5" thickTop="1" thickBot="1" x14ac:dyDescent="0.4">
      <c r="C46" s="27">
        <v>46202</v>
      </c>
      <c r="D46" s="12">
        <v>79743</v>
      </c>
      <c r="E46" s="105" t="str">
        <f>IFERROR(VLOOKUP($D46,NUMDIST[],2,FALSE),"DA Non trouvéé")</f>
        <v>KASINDI - SHOP ROLKO</v>
      </c>
      <c r="F46" s="14" t="s">
        <v>262</v>
      </c>
      <c r="G46" s="12" t="s">
        <v>4</v>
      </c>
      <c r="H46" s="13">
        <v>235000</v>
      </c>
      <c r="I46" s="13">
        <v>0</v>
      </c>
      <c r="J46" s="12" t="s">
        <v>254</v>
      </c>
      <c r="K46" s="28" t="s">
        <v>263</v>
      </c>
    </row>
    <row r="47" spans="3:11" ht="15.5" thickTop="1" thickBot="1" x14ac:dyDescent="0.4">
      <c r="C47" s="27">
        <v>46202</v>
      </c>
      <c r="D47" s="14">
        <v>102554</v>
      </c>
      <c r="E47" s="105" t="str">
        <f>IFERROR(VLOOKUP($D47,NUMDIST[],2,FALSE),"DA Non trouvéé")</f>
        <v>KANYASI - ZITONO SHOP</v>
      </c>
      <c r="F47" s="14" t="s">
        <v>262</v>
      </c>
      <c r="G47" s="14" t="s">
        <v>19</v>
      </c>
      <c r="H47" s="13">
        <v>235000</v>
      </c>
      <c r="I47" s="13">
        <v>0</v>
      </c>
      <c r="J47" s="14" t="s">
        <v>254</v>
      </c>
      <c r="K47" s="28" t="s">
        <v>263</v>
      </c>
    </row>
    <row r="48" spans="3:11" ht="15.5" thickTop="1" thickBot="1" x14ac:dyDescent="0.4">
      <c r="C48" s="27">
        <v>46202</v>
      </c>
      <c r="D48" s="12">
        <v>105534</v>
      </c>
      <c r="E48" s="105" t="str">
        <f>IFERROR(VLOOKUP($D48,NUMDIST[],2,FALSE),"DA Non trouvéé")</f>
        <v>ARU - ANSELME SHOP</v>
      </c>
      <c r="F48" s="14" t="s">
        <v>262</v>
      </c>
      <c r="G48" s="12" t="s">
        <v>4</v>
      </c>
      <c r="H48" s="13">
        <v>317250</v>
      </c>
      <c r="I48" s="13">
        <v>0</v>
      </c>
      <c r="J48" s="12" t="s">
        <v>254</v>
      </c>
      <c r="K48" s="28" t="s">
        <v>263</v>
      </c>
    </row>
    <row r="49" spans="3:11" ht="15.5" thickTop="1" thickBot="1" x14ac:dyDescent="0.4">
      <c r="C49" s="27">
        <v>46202</v>
      </c>
      <c r="D49" s="14">
        <v>92119</v>
      </c>
      <c r="E49" s="105" t="str">
        <f>IFERROR(VLOOKUP($D49,NUMDIST[],2,FALSE),"DA Non trouvéé")</f>
        <v>ISIRO - HADASSA BUSINESS</v>
      </c>
      <c r="F49" s="14" t="s">
        <v>262</v>
      </c>
      <c r="G49" s="14" t="s">
        <v>5</v>
      </c>
      <c r="H49" s="13">
        <v>705000</v>
      </c>
      <c r="I49" s="13">
        <v>0</v>
      </c>
      <c r="J49" s="14" t="s">
        <v>254</v>
      </c>
      <c r="K49" s="28" t="s">
        <v>263</v>
      </c>
    </row>
    <row r="50" spans="3:11" ht="15.5" thickTop="1" thickBot="1" x14ac:dyDescent="0.4">
      <c r="C50" s="27">
        <v>46202</v>
      </c>
      <c r="D50" s="12">
        <v>87503</v>
      </c>
      <c r="E50" s="105" t="str">
        <f>IFERROR(VLOOKUP($D50,NUMDIST[],2,FALSE),"DA Non trouvéé")</f>
        <v>BUKAVU - ETS DIEU EST GRAND</v>
      </c>
      <c r="F50" s="14" t="s">
        <v>262</v>
      </c>
      <c r="G50" s="12" t="s">
        <v>19</v>
      </c>
      <c r="H50" s="13">
        <v>352500</v>
      </c>
      <c r="I50" s="13">
        <v>0</v>
      </c>
      <c r="J50" s="12" t="s">
        <v>15</v>
      </c>
      <c r="K50" s="28" t="s">
        <v>263</v>
      </c>
    </row>
    <row r="51" spans="3:11" ht="15.5" thickTop="1" thickBot="1" x14ac:dyDescent="0.4">
      <c r="C51" s="27">
        <v>46203</v>
      </c>
      <c r="D51" s="14">
        <v>34597</v>
      </c>
      <c r="E51" s="105" t="str">
        <f>IFERROR(VLOOKUP($D51,NUMDIST[],2,FALSE),"DA Non trouvéé")</f>
        <v>ETABLISSEMENT-  JPS DM BIGO</v>
      </c>
      <c r="F51" s="14" t="s">
        <v>262</v>
      </c>
      <c r="G51" s="12" t="s">
        <v>7</v>
      </c>
      <c r="H51" s="13">
        <v>1645000</v>
      </c>
      <c r="I51" s="13">
        <v>0</v>
      </c>
      <c r="J51" s="14" t="s">
        <v>254</v>
      </c>
      <c r="K51" s="28"/>
    </row>
    <row r="52" spans="3:11" ht="15.5" thickTop="1" thickBot="1" x14ac:dyDescent="0.4">
      <c r="C52" s="27">
        <v>46203</v>
      </c>
      <c r="D52" s="12">
        <v>90176</v>
      </c>
      <c r="E52" s="105" t="str">
        <f>IFERROR(VLOOKUP($D52,NUMDIST[],2,FALSE),"DA Non trouvéé")</f>
        <v>BUNIA - SHOP MATATA</v>
      </c>
      <c r="F52" s="12" t="s">
        <v>262</v>
      </c>
      <c r="G52" s="14" t="s">
        <v>7</v>
      </c>
      <c r="H52" s="13">
        <v>470000</v>
      </c>
      <c r="I52" s="13">
        <v>0</v>
      </c>
      <c r="J52" s="12" t="s">
        <v>254</v>
      </c>
      <c r="K52" s="28"/>
    </row>
    <row r="53" spans="3:11" ht="15.5" thickTop="1" thickBot="1" x14ac:dyDescent="0.4">
      <c r="C53" s="27">
        <v>46203</v>
      </c>
      <c r="D53" s="14">
        <v>91775</v>
      </c>
      <c r="E53" s="105" t="str">
        <f>IFERROR(VLOOKUP($D53,NUMDIST[],2,FALSE),"DA Non trouvéé")</f>
        <v>MAHAGI - MAISON DIGITAL</v>
      </c>
      <c r="F53" s="14" t="s">
        <v>262</v>
      </c>
      <c r="G53" s="12" t="s">
        <v>8</v>
      </c>
      <c r="H53" s="13">
        <v>799500</v>
      </c>
      <c r="I53" s="13">
        <v>0</v>
      </c>
      <c r="J53" s="14" t="s">
        <v>254</v>
      </c>
      <c r="K53" s="28"/>
    </row>
    <row r="54" spans="3:11" ht="15.5" thickTop="1" thickBot="1" x14ac:dyDescent="0.4">
      <c r="C54" s="27">
        <v>46203</v>
      </c>
      <c r="D54" s="12">
        <v>55350</v>
      </c>
      <c r="E54" s="105" t="str">
        <f>IFERROR(VLOOKUP($D54,NUMDIST[],2,FALSE),"DA Non trouvéé")</f>
        <v>OICHA - CLINIQUE ORDINATEURS</v>
      </c>
      <c r="F54" s="12" t="s">
        <v>262</v>
      </c>
      <c r="G54" s="14" t="s">
        <v>5</v>
      </c>
      <c r="H54" s="13">
        <v>352500</v>
      </c>
      <c r="I54" s="13">
        <v>0</v>
      </c>
      <c r="J54" s="12" t="s">
        <v>254</v>
      </c>
      <c r="K54" s="28"/>
    </row>
    <row r="55" spans="3:11" ht="15.5" thickTop="1" thickBot="1" x14ac:dyDescent="0.4">
      <c r="C55" s="27">
        <v>46203</v>
      </c>
      <c r="D55" s="14">
        <v>95823</v>
      </c>
      <c r="E55" s="105" t="str">
        <f>IFERROR(VLOOKUP($D55,NUMDIST[],2,FALSE),"DA Non trouvéé")</f>
        <v>BUNIA - ETS CANAL BIA</v>
      </c>
      <c r="F55" s="14" t="s">
        <v>262</v>
      </c>
      <c r="G55" s="12" t="s">
        <v>19</v>
      </c>
      <c r="H55" s="13">
        <v>235000</v>
      </c>
      <c r="I55" s="13">
        <v>0</v>
      </c>
      <c r="J55" s="14" t="s">
        <v>15</v>
      </c>
      <c r="K55" s="28"/>
    </row>
    <row r="56" spans="3:11" ht="15.5" thickTop="1" thickBot="1" x14ac:dyDescent="0.4">
      <c r="C56" s="27">
        <v>46203</v>
      </c>
      <c r="D56" s="12">
        <v>100652</v>
      </c>
      <c r="E56" s="105" t="str">
        <f>IFERROR(VLOOKUP($D56,NUMDIST[],2,FALSE),"DA Non trouvéé")</f>
        <v>BUNIA - ETS COURAGE IT</v>
      </c>
      <c r="F56" s="12" t="s">
        <v>262</v>
      </c>
      <c r="G56" s="14" t="s">
        <v>4</v>
      </c>
      <c r="H56" s="13">
        <v>470000</v>
      </c>
      <c r="I56" s="13">
        <v>0</v>
      </c>
      <c r="J56" s="12" t="s">
        <v>254</v>
      </c>
      <c r="K56" s="28"/>
    </row>
    <row r="57" spans="3:11" ht="15.5" thickTop="1" thickBot="1" x14ac:dyDescent="0.4">
      <c r="C57" s="27">
        <v>46203</v>
      </c>
      <c r="D57" s="14">
        <v>90172</v>
      </c>
      <c r="E57" s="105" t="str">
        <f>IFERROR(VLOOKUP($D57,NUMDIST[],2,FALSE),"DA Non trouvéé")</f>
        <v>BUNIA - SHOP DOXA</v>
      </c>
      <c r="F57" s="14" t="s">
        <v>262</v>
      </c>
      <c r="G57" s="12" t="s">
        <v>4</v>
      </c>
      <c r="H57" s="13">
        <v>500000</v>
      </c>
      <c r="I57" s="13">
        <v>0</v>
      </c>
      <c r="J57" s="14" t="s">
        <v>254</v>
      </c>
      <c r="K57" s="28"/>
    </row>
    <row r="58" spans="3:11" ht="15.5" thickTop="1" thickBot="1" x14ac:dyDescent="0.4">
      <c r="C58" s="27">
        <v>46203</v>
      </c>
      <c r="D58" s="12">
        <v>99337</v>
      </c>
      <c r="E58" s="105" t="str">
        <f>IFERROR(VLOOKUP($D58,NUMDIST[],2,FALSE),"DA Non trouvéé")</f>
        <v>ISIRO - SHOP CHARA HOUSE</v>
      </c>
      <c r="F58" s="12" t="s">
        <v>262</v>
      </c>
      <c r="G58" s="14" t="s">
        <v>7</v>
      </c>
      <c r="H58" s="13">
        <v>1359500</v>
      </c>
      <c r="I58" s="13">
        <v>0</v>
      </c>
      <c r="J58" s="12" t="s">
        <v>254</v>
      </c>
      <c r="K58" s="28"/>
    </row>
    <row r="59" spans="3:11" ht="15.5" thickTop="1" thickBot="1" x14ac:dyDescent="0.4">
      <c r="C59" s="27">
        <v>46203</v>
      </c>
      <c r="D59" s="14">
        <v>91770</v>
      </c>
      <c r="E59" s="105" t="str">
        <f>IFERROR(VLOOKUP($D59,NUMDIST[],2,FALSE),"DA Non trouvéé")</f>
        <v>BUKAVU - MAISON JULIEN BS</v>
      </c>
      <c r="F59" s="14" t="s">
        <v>262</v>
      </c>
      <c r="G59" s="12" t="s">
        <v>7</v>
      </c>
      <c r="H59" s="13">
        <v>470000</v>
      </c>
      <c r="I59" s="13">
        <v>0</v>
      </c>
      <c r="J59" s="14" t="s">
        <v>254</v>
      </c>
      <c r="K59" s="28"/>
    </row>
    <row r="60" spans="3:11" ht="15.5" thickTop="1" thickBot="1" x14ac:dyDescent="0.4">
      <c r="C60" s="27">
        <v>46203</v>
      </c>
      <c r="D60" s="12">
        <v>36710</v>
      </c>
      <c r="E60" s="105" t="str">
        <f>IFERROR(VLOOKUP($D60,NUMDIST[],2,FALSE),"DA Non trouvéé")</f>
        <v>BUNIA - BOUTIQUE JPS DM</v>
      </c>
      <c r="F60" s="12" t="s">
        <v>262</v>
      </c>
      <c r="G60" s="14" t="s">
        <v>19</v>
      </c>
      <c r="H60" s="13">
        <v>4948500</v>
      </c>
      <c r="I60" s="13">
        <v>0</v>
      </c>
      <c r="J60" s="12" t="s">
        <v>15</v>
      </c>
      <c r="K60" s="28"/>
    </row>
    <row r="61" spans="3:11" ht="15.5" thickTop="1" thickBot="1" x14ac:dyDescent="0.4">
      <c r="C61" s="27">
        <v>46203</v>
      </c>
      <c r="D61" s="14">
        <v>90174</v>
      </c>
      <c r="E61" s="105" t="str">
        <f>IFERROR(VLOOKUP($D61,NUMDIST[],2,FALSE),"DA Non trouvéé")</f>
        <v>MAHAGI - ETS JACQUES PLUS</v>
      </c>
      <c r="F61" s="14" t="s">
        <v>262</v>
      </c>
      <c r="G61" s="12" t="s">
        <v>4</v>
      </c>
      <c r="H61" s="13">
        <v>260000</v>
      </c>
      <c r="I61" s="13">
        <v>0</v>
      </c>
      <c r="J61" s="14" t="s">
        <v>254</v>
      </c>
      <c r="K61" s="28"/>
    </row>
    <row r="62" spans="3:11" ht="15.5" thickTop="1" thickBot="1" x14ac:dyDescent="0.4">
      <c r="C62" s="27">
        <v>46203</v>
      </c>
      <c r="D62" s="12">
        <v>103992</v>
      </c>
      <c r="E62" s="105" t="str">
        <f>IFERROR(VLOOKUP($D62,NUMDIST[],2,FALSE),"DA Non trouvéé")</f>
        <v>ETABLISEMENT ESPOIR BUSINESS</v>
      </c>
      <c r="F62" s="12" t="s">
        <v>262</v>
      </c>
      <c r="G62" s="14" t="s">
        <v>5</v>
      </c>
      <c r="H62" s="13">
        <v>705000</v>
      </c>
      <c r="I62" s="13">
        <v>0</v>
      </c>
      <c r="J62" s="12" t="s">
        <v>254</v>
      </c>
      <c r="K62" s="28"/>
    </row>
    <row r="63" spans="3:11" ht="15.5" thickTop="1" thickBot="1" x14ac:dyDescent="0.4">
      <c r="C63" s="27">
        <v>46203</v>
      </c>
      <c r="D63" s="14">
        <v>36112</v>
      </c>
      <c r="E63" s="105" t="str">
        <f>IFERROR(VLOOKUP($D63,NUMDIST[],2,FALSE),"DA Non trouvéé")</f>
        <v>SUD KIVU - ETS AGRIPPINE</v>
      </c>
      <c r="F63" s="14" t="s">
        <v>262</v>
      </c>
      <c r="G63" s="12" t="s">
        <v>4</v>
      </c>
      <c r="H63" s="13">
        <v>200000</v>
      </c>
      <c r="I63" s="13">
        <v>0</v>
      </c>
      <c r="J63" s="14" t="s">
        <v>254</v>
      </c>
      <c r="K63" s="28"/>
    </row>
    <row r="64" spans="3:11" ht="15.5" thickTop="1" thickBot="1" x14ac:dyDescent="0.4">
      <c r="C64" s="27">
        <v>46203</v>
      </c>
      <c r="D64" s="12">
        <v>95820</v>
      </c>
      <c r="E64" s="105" t="str">
        <f>IFERROR(VLOOKUP($D64,NUMDIST[],2,FALSE),"DA Non trouvéé")</f>
        <v>MONGWALU - MAISON INTEMPORELLE</v>
      </c>
      <c r="F64" s="12" t="s">
        <v>262</v>
      </c>
      <c r="G64" s="12" t="s">
        <v>4</v>
      </c>
      <c r="H64" s="13">
        <v>434750</v>
      </c>
      <c r="I64" s="13">
        <v>0</v>
      </c>
      <c r="J64" s="12" t="s">
        <v>254</v>
      </c>
      <c r="K64" s="28"/>
    </row>
    <row r="65" spans="3:11" ht="15.5" thickTop="1" thickBot="1" x14ac:dyDescent="0.4">
      <c r="C65" s="27">
        <v>46203</v>
      </c>
      <c r="D65" s="14">
        <v>85827</v>
      </c>
      <c r="E65" s="105" t="str">
        <f>IFERROR(VLOOKUP($D65,NUMDIST[],2,FALSE),"DA Non trouvéé")</f>
        <v>KISANGANI - SHOP LA GRACE</v>
      </c>
      <c r="F65" s="14" t="s">
        <v>262</v>
      </c>
      <c r="G65" s="14" t="s">
        <v>7</v>
      </c>
      <c r="H65" s="13">
        <v>399500</v>
      </c>
      <c r="I65" s="13">
        <v>0</v>
      </c>
      <c r="J65" s="14" t="s">
        <v>254</v>
      </c>
      <c r="K65" s="28"/>
    </row>
    <row r="66" spans="3:11" ht="15.5" thickTop="1" thickBot="1" x14ac:dyDescent="0.4">
      <c r="C66" s="27">
        <v>46203</v>
      </c>
      <c r="D66" s="12">
        <v>96210</v>
      </c>
      <c r="E66" s="105" t="str">
        <f>IFERROR(VLOOKUP($D66,NUMDIST[],2,FALSE),"DA Non trouvéé")</f>
        <v>BIAKATO - BETTING +</v>
      </c>
      <c r="F66" s="12" t="s">
        <v>262</v>
      </c>
      <c r="G66" s="12" t="s">
        <v>4</v>
      </c>
      <c r="H66" s="13">
        <v>118000</v>
      </c>
      <c r="I66" s="13">
        <v>0</v>
      </c>
      <c r="J66" s="12" t="s">
        <v>254</v>
      </c>
      <c r="K66" s="28"/>
    </row>
    <row r="67" spans="3:11" ht="15.5" thickTop="1" thickBot="1" x14ac:dyDescent="0.4">
      <c r="C67" s="27">
        <v>46203</v>
      </c>
      <c r="D67" s="14">
        <v>87500</v>
      </c>
      <c r="E67" s="105" t="str">
        <f>IFERROR(VLOOKUP($D67,NUMDIST[],2,FALSE),"DA Non trouvéé")</f>
        <v>BUNIA - ETS DIEU MERCI</v>
      </c>
      <c r="F67" s="14" t="s">
        <v>262</v>
      </c>
      <c r="G67" s="14" t="s">
        <v>19</v>
      </c>
      <c r="H67" s="13">
        <v>324500</v>
      </c>
      <c r="I67" s="13">
        <v>0</v>
      </c>
      <c r="J67" s="14" t="s">
        <v>254</v>
      </c>
      <c r="K67" s="28"/>
    </row>
    <row r="68" spans="3:11" ht="15.5" thickTop="1" thickBot="1" x14ac:dyDescent="0.4">
      <c r="C68" s="27">
        <v>46203</v>
      </c>
      <c r="D68" s="12">
        <v>100652</v>
      </c>
      <c r="E68" s="105" t="str">
        <f>IFERROR(VLOOKUP($D68,NUMDIST[],2,FALSE),"DA Non trouvéé")</f>
        <v>BUNIA - ETS COURAGE IT</v>
      </c>
      <c r="F68" s="12" t="s">
        <v>262</v>
      </c>
      <c r="G68" s="12" t="s">
        <v>19</v>
      </c>
      <c r="H68" s="13">
        <v>470000</v>
      </c>
      <c r="I68" s="13">
        <v>0</v>
      </c>
      <c r="J68" s="12" t="s">
        <v>15</v>
      </c>
      <c r="K68" s="28"/>
    </row>
    <row r="69" spans="3:11" ht="15.5" thickTop="1" thickBot="1" x14ac:dyDescent="0.4">
      <c r="C69" s="27">
        <v>46203</v>
      </c>
      <c r="D69" s="14">
        <v>104189</v>
      </c>
      <c r="E69" s="105" t="str">
        <f>IFERROR(VLOOKUP($D69,NUMDIST[],2,FALSE),"DA Non trouvéé")</f>
        <v>KIVU - PILIPILI GROUP</v>
      </c>
      <c r="F69" s="14" t="s">
        <v>262</v>
      </c>
      <c r="G69" s="14" t="s">
        <v>8</v>
      </c>
      <c r="H69" s="13">
        <v>1000000</v>
      </c>
      <c r="I69" s="13">
        <v>0</v>
      </c>
      <c r="J69" s="14" t="s">
        <v>254</v>
      </c>
      <c r="K69" s="28"/>
    </row>
    <row r="70" spans="3:11" ht="15.5" thickTop="1" thickBot="1" x14ac:dyDescent="0.4">
      <c r="C70" s="27">
        <v>46203</v>
      </c>
      <c r="D70" s="12">
        <v>90144</v>
      </c>
      <c r="E70" s="105" t="str">
        <f>IFERROR(VLOOKUP($D70,NUMDIST[],2,FALSE),"DA Non trouvéé")</f>
        <v>GOMA - ETS TOUT TERRAIN</v>
      </c>
      <c r="F70" s="12" t="s">
        <v>262</v>
      </c>
      <c r="G70" s="12" t="s">
        <v>5</v>
      </c>
      <c r="H70" s="13">
        <v>258500</v>
      </c>
      <c r="I70" s="13">
        <v>0</v>
      </c>
      <c r="J70" s="12" t="s">
        <v>254</v>
      </c>
      <c r="K70" s="28"/>
    </row>
    <row r="71" spans="3:11" ht="15.5" thickTop="1" thickBot="1" x14ac:dyDescent="0.4">
      <c r="C71" s="27">
        <v>46203</v>
      </c>
      <c r="D71" s="14">
        <v>87503</v>
      </c>
      <c r="E71" s="105" t="str">
        <f>IFERROR(VLOOKUP($D71,NUMDIST[],2,FALSE),"DA Non trouvéé")</f>
        <v>BUKAVU - ETS DIEU EST GRAND</v>
      </c>
      <c r="F71" s="14" t="s">
        <v>262</v>
      </c>
      <c r="G71" s="14" t="s">
        <v>5</v>
      </c>
      <c r="H71" s="13">
        <v>286700</v>
      </c>
      <c r="I71" s="13">
        <v>0</v>
      </c>
      <c r="J71" s="14" t="s">
        <v>254</v>
      </c>
      <c r="K71" s="28"/>
    </row>
    <row r="72" spans="3:11" ht="15.5" thickTop="1" thickBot="1" x14ac:dyDescent="0.4">
      <c r="C72" s="27">
        <v>46203</v>
      </c>
      <c r="D72" s="12">
        <v>92117</v>
      </c>
      <c r="E72" s="105" t="str">
        <f>IFERROR(VLOOKUP($D72,NUMDIST[],2,FALSE),"DA Non trouvéé")</f>
        <v>KISANGANI - STAFF FLORY</v>
      </c>
      <c r="F72" s="12" t="s">
        <v>262</v>
      </c>
      <c r="G72" s="12" t="s">
        <v>7</v>
      </c>
      <c r="H72" s="13">
        <v>188000</v>
      </c>
      <c r="I72" s="13">
        <v>0</v>
      </c>
      <c r="J72" s="12" t="s">
        <v>254</v>
      </c>
      <c r="K72" s="28"/>
    </row>
    <row r="73" spans="3:11" ht="15.5" thickTop="1" thickBot="1" x14ac:dyDescent="0.4">
      <c r="C73" s="27">
        <v>46203</v>
      </c>
      <c r="D73" s="14">
        <v>85827</v>
      </c>
      <c r="E73" s="105" t="str">
        <f>IFERROR(VLOOKUP($D73,NUMDIST[],2,FALSE),"DA Non trouvéé")</f>
        <v>KISANGANI - SHOP LA GRACE</v>
      </c>
      <c r="F73" s="14" t="s">
        <v>262</v>
      </c>
      <c r="G73" s="14" t="s">
        <v>7</v>
      </c>
      <c r="H73" s="13">
        <v>705000</v>
      </c>
      <c r="I73" s="13">
        <v>0</v>
      </c>
      <c r="J73" s="14" t="s">
        <v>254</v>
      </c>
      <c r="K73" s="28"/>
    </row>
    <row r="74" spans="3:11" ht="15.5" thickTop="1" thickBot="1" x14ac:dyDescent="0.4">
      <c r="C74" s="27">
        <v>46203</v>
      </c>
      <c r="D74" s="12">
        <v>87503</v>
      </c>
      <c r="E74" s="105" t="str">
        <f>IFERROR(VLOOKUP($D74,NUMDIST[],2,FALSE),"DA Non trouvéé")</f>
        <v>BUKAVU - ETS DIEU EST GRAND</v>
      </c>
      <c r="F74" s="12" t="s">
        <v>262</v>
      </c>
      <c r="G74" s="12" t="s">
        <v>5</v>
      </c>
      <c r="H74" s="13">
        <v>352500</v>
      </c>
      <c r="I74" s="13">
        <v>0</v>
      </c>
      <c r="J74" s="12" t="s">
        <v>254</v>
      </c>
      <c r="K74" s="28"/>
    </row>
    <row r="75" spans="3:11" ht="15.5" thickTop="1" thickBot="1" x14ac:dyDescent="0.4">
      <c r="C75" s="27">
        <v>46203</v>
      </c>
      <c r="D75" s="14">
        <v>55349</v>
      </c>
      <c r="E75" s="105" t="str">
        <f>IFERROR(VLOOKUP($D75,NUMDIST[],2,FALSE),"DA Non trouvéé")</f>
        <v>ISIRO - LES AMIS</v>
      </c>
      <c r="F75" s="14" t="s">
        <v>262</v>
      </c>
      <c r="G75" s="14" t="s">
        <v>7</v>
      </c>
      <c r="H75" s="13">
        <v>648600</v>
      </c>
      <c r="I75" s="13">
        <v>0</v>
      </c>
      <c r="J75" s="14" t="s">
        <v>254</v>
      </c>
      <c r="K75" s="28"/>
    </row>
    <row r="76" spans="3:11" ht="15.5" thickTop="1" thickBot="1" x14ac:dyDescent="0.4">
      <c r="C76" s="27">
        <v>46203</v>
      </c>
      <c r="D76" s="12">
        <v>71087</v>
      </c>
      <c r="E76" s="105" t="str">
        <f>IFERROR(VLOOKUP($D76,NUMDIST[],2,FALSE),"DA Non trouvéé")</f>
        <v>ETS CALIFORNIE</v>
      </c>
      <c r="F76" s="12" t="s">
        <v>262</v>
      </c>
      <c r="G76" s="12" t="s">
        <v>19</v>
      </c>
      <c r="H76" s="13">
        <v>493500</v>
      </c>
      <c r="I76" s="13">
        <v>0</v>
      </c>
      <c r="J76" s="12" t="s">
        <v>254</v>
      </c>
      <c r="K76" s="28"/>
    </row>
    <row r="77" spans="3:11" ht="15.5" thickTop="1" thickBot="1" x14ac:dyDescent="0.4">
      <c r="C77" s="27">
        <v>46203</v>
      </c>
      <c r="D77" s="14">
        <v>42153</v>
      </c>
      <c r="E77" s="105" t="str">
        <f>IFERROR(VLOOKUP($D77,NUMDIST[],2,FALSE),"DA Non trouvéé")</f>
        <v>BUNIA - ETS SALEM</v>
      </c>
      <c r="F77" s="14" t="s">
        <v>262</v>
      </c>
      <c r="G77" s="12" t="s">
        <v>5</v>
      </c>
      <c r="H77" s="13">
        <v>235000</v>
      </c>
      <c r="I77" s="13">
        <v>0</v>
      </c>
      <c r="J77" s="14" t="s">
        <v>254</v>
      </c>
      <c r="K77" s="28"/>
    </row>
    <row r="78" spans="3:11" ht="15.5" thickTop="1" thickBot="1" x14ac:dyDescent="0.4">
      <c r="C78" s="27">
        <v>46203</v>
      </c>
      <c r="D78" s="12">
        <v>36433</v>
      </c>
      <c r="E78" s="105" t="str">
        <f>IFERROR(VLOOKUP($D78,NUMDIST[],2,FALSE),"DA Non trouvéé")</f>
        <v>BUNIA - CHEZ JUSTIN</v>
      </c>
      <c r="F78" s="12" t="s">
        <v>262</v>
      </c>
      <c r="G78" s="14" t="s">
        <v>4</v>
      </c>
      <c r="H78" s="13">
        <v>235000</v>
      </c>
      <c r="I78" s="13">
        <v>0</v>
      </c>
      <c r="J78" s="12" t="s">
        <v>254</v>
      </c>
      <c r="K78" s="28"/>
    </row>
    <row r="79" spans="3:11" ht="15.5" thickTop="1" thickBot="1" x14ac:dyDescent="0.4">
      <c r="C79" s="27">
        <v>46203</v>
      </c>
      <c r="D79" s="14">
        <v>90156</v>
      </c>
      <c r="E79" s="105" t="str">
        <f>IFERROR(VLOOKUP($D79,NUMDIST[],2,FALSE),"DA Non trouvéé")</f>
        <v>GOMA - ETS ADONIS</v>
      </c>
      <c r="F79" s="14" t="s">
        <v>262</v>
      </c>
      <c r="G79" s="12" t="s">
        <v>5</v>
      </c>
      <c r="H79" s="13">
        <v>470000</v>
      </c>
      <c r="I79" s="13">
        <v>0</v>
      </c>
      <c r="J79" s="14" t="s">
        <v>254</v>
      </c>
      <c r="K79" s="28"/>
    </row>
    <row r="80" spans="3:11" ht="15.5" thickTop="1" thickBot="1" x14ac:dyDescent="0.4">
      <c r="C80" s="27">
        <v>46203</v>
      </c>
      <c r="D80" s="12">
        <v>91404</v>
      </c>
      <c r="E80" s="105" t="str">
        <f>IFERROR(VLOOKUP($D80,NUMDIST[],2,FALSE),"DA Non trouvéé")</f>
        <v>GOMA - SHOP GOMA</v>
      </c>
      <c r="F80" s="12" t="s">
        <v>262</v>
      </c>
      <c r="G80" s="14" t="s">
        <v>5</v>
      </c>
      <c r="H80" s="13">
        <v>477050</v>
      </c>
      <c r="I80" s="13">
        <v>0</v>
      </c>
      <c r="J80" s="12" t="s">
        <v>254</v>
      </c>
      <c r="K80" s="28"/>
    </row>
    <row r="81" spans="3:11" ht="15.5" thickTop="1" thickBot="1" x14ac:dyDescent="0.4">
      <c r="C81" s="27">
        <v>46203</v>
      </c>
      <c r="D81" s="14">
        <v>36430</v>
      </c>
      <c r="E81" s="105" t="str">
        <f>IFERROR(VLOOKUP($D81,NUMDIST[],2,FALSE),"DA Non trouvéé")</f>
        <v>Bunia - ETS BOTOAFINE</v>
      </c>
      <c r="F81" s="14" t="s">
        <v>262</v>
      </c>
      <c r="G81" s="12" t="s">
        <v>19</v>
      </c>
      <c r="H81" s="13">
        <v>117500</v>
      </c>
      <c r="I81" s="13">
        <v>0</v>
      </c>
      <c r="J81" s="14" t="s">
        <v>254</v>
      </c>
      <c r="K81" s="28"/>
    </row>
    <row r="82" spans="3:11" ht="15.5" thickTop="1" thickBot="1" x14ac:dyDescent="0.4">
      <c r="C82" s="27">
        <v>46203</v>
      </c>
      <c r="D82" s="12">
        <v>95817</v>
      </c>
      <c r="E82" s="105" t="str">
        <f>IFERROR(VLOOKUP($D82,NUMDIST[],2,FALSE),"DA Non trouvéé")</f>
        <v>BUNIA - YESU NI JIBU</v>
      </c>
      <c r="F82" s="12" t="s">
        <v>262</v>
      </c>
      <c r="G82" s="14" t="s">
        <v>19</v>
      </c>
      <c r="H82" s="13">
        <v>352500</v>
      </c>
      <c r="I82" s="13">
        <v>0</v>
      </c>
      <c r="J82" s="12" t="s">
        <v>15</v>
      </c>
      <c r="K82" s="28"/>
    </row>
    <row r="83" spans="3:11" ht="15.5" thickTop="1" thickBot="1" x14ac:dyDescent="0.4">
      <c r="C83" s="27">
        <v>46203</v>
      </c>
      <c r="D83" s="14">
        <v>42931</v>
      </c>
      <c r="E83" s="105" t="str">
        <f>IFERROR(VLOOKUP($D83,NUMDIST[],2,FALSE),"DA Non trouvéé")</f>
        <v>GOMA - VAD JPS DM</v>
      </c>
      <c r="F83" s="14" t="s">
        <v>262</v>
      </c>
      <c r="G83" s="12" t="s">
        <v>5</v>
      </c>
      <c r="H83" s="13">
        <v>185650</v>
      </c>
      <c r="I83" s="13">
        <v>0</v>
      </c>
      <c r="J83" s="14" t="s">
        <v>254</v>
      </c>
      <c r="K83" s="28"/>
    </row>
    <row r="84" spans="3:11" ht="15.5" thickTop="1" thickBot="1" x14ac:dyDescent="0.4">
      <c r="C84" s="27">
        <v>46203</v>
      </c>
      <c r="D84" s="12">
        <v>104190</v>
      </c>
      <c r="E84" s="105" t="str">
        <f>IFERROR(VLOOKUP($D84,NUMDIST[],2,FALSE),"DA Non trouvéé")</f>
        <v>NYAWERA CANAL SHOP</v>
      </c>
      <c r="F84" s="12" t="s">
        <v>262</v>
      </c>
      <c r="G84" s="14" t="s">
        <v>4</v>
      </c>
      <c r="H84" s="13">
        <v>216200</v>
      </c>
      <c r="I84" s="13">
        <v>0</v>
      </c>
      <c r="J84" s="12" t="s">
        <v>254</v>
      </c>
      <c r="K84" s="28"/>
    </row>
    <row r="85" spans="3:11" ht="15.5" thickTop="1" thickBot="1" x14ac:dyDescent="0.4">
      <c r="C85" s="27">
        <v>46203</v>
      </c>
      <c r="D85" s="14">
        <v>71090</v>
      </c>
      <c r="E85" s="105" t="str">
        <f>IFERROR(VLOOKUP($D85,NUMDIST[],2,FALSE),"DA Non trouvéé")</f>
        <v>SHOP JULUX</v>
      </c>
      <c r="F85" s="14" t="s">
        <v>262</v>
      </c>
      <c r="G85" s="12" t="s">
        <v>19</v>
      </c>
      <c r="H85" s="13">
        <v>2350000</v>
      </c>
      <c r="I85" s="13">
        <v>0</v>
      </c>
      <c r="J85" s="14" t="s">
        <v>15</v>
      </c>
      <c r="K85" s="28"/>
    </row>
    <row r="86" spans="3:11" ht="15.5" thickTop="1" thickBot="1" x14ac:dyDescent="0.4">
      <c r="C86" s="26" t="s">
        <v>274</v>
      </c>
      <c r="D86" s="12">
        <v>95823</v>
      </c>
      <c r="E86" s="105" t="str">
        <f>IFERROR(VLOOKUP($D86,NUMDIST[],2,FALSE),"DA Non trouvéé")</f>
        <v>BUNIA - ETS CANAL BIA</v>
      </c>
      <c r="F86" s="12" t="s">
        <v>262</v>
      </c>
      <c r="G86" s="14" t="s">
        <v>19</v>
      </c>
      <c r="H86" s="13">
        <v>352500</v>
      </c>
      <c r="I86" s="13">
        <v>0</v>
      </c>
      <c r="J86" s="12" t="s">
        <v>254</v>
      </c>
      <c r="K86" s="28" t="s">
        <v>263</v>
      </c>
    </row>
    <row r="87" spans="3:11" ht="15.5" thickTop="1" thickBot="1" x14ac:dyDescent="0.4">
      <c r="C87" s="27" t="s">
        <v>274</v>
      </c>
      <c r="D87" s="14">
        <v>54298</v>
      </c>
      <c r="E87" s="105" t="str">
        <f>IFERROR(VLOOKUP($D87,NUMDIST[],2,FALSE),"DA Non trouvéé")</f>
        <v>KIVU - SHOP SATELLITE</v>
      </c>
      <c r="F87" s="14" t="s">
        <v>262</v>
      </c>
      <c r="G87" s="12" t="s">
        <v>5</v>
      </c>
      <c r="H87" s="13">
        <v>587500</v>
      </c>
      <c r="I87" s="13">
        <v>0</v>
      </c>
      <c r="J87" s="14" t="s">
        <v>254</v>
      </c>
      <c r="K87" s="28" t="s">
        <v>263</v>
      </c>
    </row>
    <row r="88" spans="3:11" ht="15.5" thickTop="1" thickBot="1" x14ac:dyDescent="0.4">
      <c r="C88" s="26" t="s">
        <v>274</v>
      </c>
      <c r="D88" s="12">
        <v>95823</v>
      </c>
      <c r="E88" s="105" t="str">
        <f>IFERROR(VLOOKUP($D88,NUMDIST[],2,FALSE),"DA Non trouvéé")</f>
        <v>BUNIA - ETS CANAL BIA</v>
      </c>
      <c r="F88" s="12" t="s">
        <v>262</v>
      </c>
      <c r="G88" s="14" t="s">
        <v>19</v>
      </c>
      <c r="H88" s="13">
        <v>117500</v>
      </c>
      <c r="I88" s="13">
        <v>0</v>
      </c>
      <c r="J88" s="12" t="s">
        <v>254</v>
      </c>
      <c r="K88" s="28" t="s">
        <v>263</v>
      </c>
    </row>
    <row r="89" spans="3:11" ht="15.5" thickTop="1" thickBot="1" x14ac:dyDescent="0.4">
      <c r="C89" s="27" t="s">
        <v>274</v>
      </c>
      <c r="D89" s="14">
        <v>90184</v>
      </c>
      <c r="E89" s="105" t="str">
        <f>IFERROR(VLOOKUP($D89,NUMDIST[],2,FALSE),"DA Non trouvéé")</f>
        <v>BUNIA - ETS MOISE MESO</v>
      </c>
      <c r="F89" s="14" t="s">
        <v>262</v>
      </c>
      <c r="G89" s="12" t="s">
        <v>19</v>
      </c>
      <c r="H89" s="13">
        <v>470000</v>
      </c>
      <c r="I89" s="13">
        <v>0</v>
      </c>
      <c r="J89" s="14" t="s">
        <v>254</v>
      </c>
      <c r="K89" s="28" t="s">
        <v>263</v>
      </c>
    </row>
    <row r="90" spans="3:11" ht="15.5" thickTop="1" thickBot="1" x14ac:dyDescent="0.4">
      <c r="C90" s="26" t="s">
        <v>274</v>
      </c>
      <c r="D90" s="12">
        <v>100652</v>
      </c>
      <c r="E90" s="105" t="str">
        <f>IFERROR(VLOOKUP($D90,NUMDIST[],2,FALSE),"DA Non trouvéé")</f>
        <v>BUNIA - ETS COURAGE IT</v>
      </c>
      <c r="F90" s="12" t="s">
        <v>262</v>
      </c>
      <c r="G90" s="12" t="s">
        <v>19</v>
      </c>
      <c r="H90" s="13">
        <v>235000</v>
      </c>
      <c r="I90" s="13">
        <v>0</v>
      </c>
      <c r="J90" s="12" t="s">
        <v>254</v>
      </c>
      <c r="K90" s="28" t="s">
        <v>263</v>
      </c>
    </row>
    <row r="91" spans="3:11" ht="15.5" thickTop="1" thickBot="1" x14ac:dyDescent="0.4">
      <c r="C91" s="27" t="s">
        <v>274</v>
      </c>
      <c r="D91" s="14">
        <v>90151</v>
      </c>
      <c r="E91" s="105" t="str">
        <f>IFERROR(VLOOKUP($D91,NUMDIST[],2,FALSE),"DA Non trouvéé")</f>
        <v>GOMA - SHOP KAISHU</v>
      </c>
      <c r="F91" s="14" t="s">
        <v>262</v>
      </c>
      <c r="G91" s="14" t="s">
        <v>5</v>
      </c>
      <c r="H91" s="13">
        <v>352500</v>
      </c>
      <c r="I91" s="13">
        <v>0</v>
      </c>
      <c r="J91" s="14" t="s">
        <v>254</v>
      </c>
      <c r="K91" s="28" t="s">
        <v>263</v>
      </c>
    </row>
    <row r="92" spans="3:11" ht="15.5" thickTop="1" thickBot="1" x14ac:dyDescent="0.4">
      <c r="C92" s="26" t="s">
        <v>274</v>
      </c>
      <c r="D92" s="12">
        <v>36710</v>
      </c>
      <c r="E92" s="105" t="str">
        <f>IFERROR(VLOOKUP($D92,NUMDIST[],2,FALSE),"DA Non trouvéé")</f>
        <v>BUNIA - BOUTIQUE JPS DM</v>
      </c>
      <c r="F92" s="12" t="s">
        <v>262</v>
      </c>
      <c r="G92" s="12" t="s">
        <v>19</v>
      </c>
      <c r="H92" s="13">
        <v>3000000</v>
      </c>
      <c r="I92" s="13">
        <v>0</v>
      </c>
      <c r="J92" s="12" t="s">
        <v>254</v>
      </c>
      <c r="K92" s="28" t="s">
        <v>263</v>
      </c>
    </row>
    <row r="93" spans="3:11" ht="15.5" thickTop="1" thickBot="1" x14ac:dyDescent="0.4">
      <c r="C93" s="27" t="s">
        <v>274</v>
      </c>
      <c r="D93" s="14">
        <v>106295</v>
      </c>
      <c r="E93" s="105" t="str">
        <f>IFERROR(VLOOKUP($D93,NUMDIST[],2,FALSE),"DA Non trouvéé")</f>
        <v>SHARI - SHOP DIEU MOI</v>
      </c>
      <c r="F93" s="14" t="s">
        <v>262</v>
      </c>
      <c r="G93" s="14" t="s">
        <v>4</v>
      </c>
      <c r="H93" s="13">
        <v>235000</v>
      </c>
      <c r="I93" s="13">
        <v>0</v>
      </c>
      <c r="J93" s="14" t="s">
        <v>254</v>
      </c>
      <c r="K93" s="28" t="s">
        <v>263</v>
      </c>
    </row>
    <row r="94" spans="3:11" ht="15.5" thickTop="1" thickBot="1" x14ac:dyDescent="0.4">
      <c r="C94" s="26" t="s">
        <v>274</v>
      </c>
      <c r="D94" s="12">
        <v>90185</v>
      </c>
      <c r="E94" s="105" t="str">
        <f>IFERROR(VLOOKUP($D94,NUMDIST[],2,FALSE),"DA Non trouvéé")</f>
        <v>DJUGU - CHEZ ROBERT</v>
      </c>
      <c r="F94" s="12" t="s">
        <v>262</v>
      </c>
      <c r="G94" s="12" t="s">
        <v>4</v>
      </c>
      <c r="H94" s="13">
        <v>470000</v>
      </c>
      <c r="I94" s="13">
        <v>0</v>
      </c>
      <c r="J94" s="12" t="s">
        <v>254</v>
      </c>
      <c r="K94" s="28" t="s">
        <v>263</v>
      </c>
    </row>
    <row r="95" spans="3:11" ht="15.5" thickTop="1" thickBot="1" x14ac:dyDescent="0.4">
      <c r="C95" s="27" t="s">
        <v>274</v>
      </c>
      <c r="D95" s="14">
        <v>100652</v>
      </c>
      <c r="E95" s="105" t="str">
        <f>IFERROR(VLOOKUP($D95,NUMDIST[],2,FALSE),"DA Non trouvéé")</f>
        <v>BUNIA - ETS COURAGE IT</v>
      </c>
      <c r="F95" s="14" t="s">
        <v>262</v>
      </c>
      <c r="G95" s="14" t="s">
        <v>6</v>
      </c>
      <c r="H95" s="13">
        <v>235000</v>
      </c>
      <c r="I95" s="13">
        <v>0</v>
      </c>
      <c r="J95" s="14" t="s">
        <v>15</v>
      </c>
      <c r="K95" s="28" t="s">
        <v>263</v>
      </c>
    </row>
    <row r="96" spans="3:11" ht="15.5" thickTop="1" thickBot="1" x14ac:dyDescent="0.4">
      <c r="C96" s="26" t="s">
        <v>274</v>
      </c>
      <c r="D96" s="12">
        <v>104788</v>
      </c>
      <c r="E96" s="105" t="str">
        <f>IFERROR(VLOOKUP($D96,NUMDIST[],2,FALSE),"DA Non trouvéé")</f>
        <v>BUNIA - ETS DON DE DIEU</v>
      </c>
      <c r="F96" s="12" t="s">
        <v>262</v>
      </c>
      <c r="G96" s="12" t="s">
        <v>19</v>
      </c>
      <c r="H96" s="13">
        <v>470000</v>
      </c>
      <c r="I96" s="13">
        <v>0</v>
      </c>
      <c r="J96" s="12" t="s">
        <v>254</v>
      </c>
      <c r="K96" s="28" t="s">
        <v>263</v>
      </c>
    </row>
    <row r="97" spans="3:11" ht="15.5" thickTop="1" thickBot="1" x14ac:dyDescent="0.4">
      <c r="C97" s="27" t="s">
        <v>274</v>
      </c>
      <c r="D97" s="14">
        <v>95825</v>
      </c>
      <c r="E97" s="105" t="str">
        <f>IFERROR(VLOOKUP($D97,NUMDIST[],2,FALSE),"DA Non trouvéé")</f>
        <v>BADENGAIDO - LA SAG DE DIEU</v>
      </c>
      <c r="F97" s="14" t="s">
        <v>262</v>
      </c>
      <c r="G97" s="14" t="s">
        <v>4</v>
      </c>
      <c r="H97" s="13">
        <v>300000</v>
      </c>
      <c r="I97" s="13">
        <v>0</v>
      </c>
      <c r="J97" s="14" t="s">
        <v>254</v>
      </c>
      <c r="K97" s="28" t="s">
        <v>263</v>
      </c>
    </row>
    <row r="98" spans="3:11" ht="15.5" thickTop="1" thickBot="1" x14ac:dyDescent="0.4">
      <c r="C98" s="26" t="s">
        <v>274</v>
      </c>
      <c r="D98" s="12">
        <v>42153</v>
      </c>
      <c r="E98" s="105" t="str">
        <f>IFERROR(VLOOKUP($D98,NUMDIST[],2,FALSE),"DA Non trouvéé")</f>
        <v>BUNIA - ETS SALEM</v>
      </c>
      <c r="F98" s="12" t="s">
        <v>262</v>
      </c>
      <c r="G98" s="12" t="s">
        <v>7</v>
      </c>
      <c r="H98" s="13">
        <v>352500</v>
      </c>
      <c r="I98" s="13">
        <v>0</v>
      </c>
      <c r="J98" s="12" t="s">
        <v>254</v>
      </c>
      <c r="K98" s="28" t="s">
        <v>263</v>
      </c>
    </row>
    <row r="99" spans="3:11" ht="15.5" thickTop="1" thickBot="1" x14ac:dyDescent="0.4">
      <c r="C99" s="27" t="s">
        <v>274</v>
      </c>
      <c r="D99" s="14">
        <v>85827</v>
      </c>
      <c r="E99" s="105" t="str">
        <f>IFERROR(VLOOKUP($D99,NUMDIST[],2,FALSE),"DA Non trouvéé")</f>
        <v>KISANGANI - SHOP LA GRACE</v>
      </c>
      <c r="F99" s="14" t="s">
        <v>262</v>
      </c>
      <c r="G99" s="14" t="s">
        <v>7</v>
      </c>
      <c r="H99" s="13">
        <v>822500</v>
      </c>
      <c r="I99" s="13">
        <v>0</v>
      </c>
      <c r="J99" s="14" t="s">
        <v>254</v>
      </c>
      <c r="K99" s="28" t="s">
        <v>263</v>
      </c>
    </row>
    <row r="100" spans="3:11" ht="15.5" thickTop="1" thickBot="1" x14ac:dyDescent="0.4">
      <c r="C100" s="26" t="s">
        <v>274</v>
      </c>
      <c r="D100" s="12">
        <v>71090</v>
      </c>
      <c r="E100" s="105" t="str">
        <f>IFERROR(VLOOKUP($D100,NUMDIST[],2,FALSE),"DA Non trouvéé")</f>
        <v>SHOP JULUX</v>
      </c>
      <c r="F100" s="12" t="s">
        <v>262</v>
      </c>
      <c r="G100" s="12" t="s">
        <v>6</v>
      </c>
      <c r="H100" s="13">
        <v>2350000</v>
      </c>
      <c r="I100" s="13">
        <v>0</v>
      </c>
      <c r="J100" s="12" t="s">
        <v>15</v>
      </c>
      <c r="K100" s="28" t="s">
        <v>263</v>
      </c>
    </row>
    <row r="101" spans="3:11" ht="15.5" thickTop="1" thickBot="1" x14ac:dyDescent="0.4">
      <c r="C101" s="27" t="s">
        <v>274</v>
      </c>
      <c r="D101" s="14">
        <v>99337</v>
      </c>
      <c r="E101" s="105" t="str">
        <f>IFERROR(VLOOKUP($D101,NUMDIST[],2,FALSE),"DA Non trouvéé")</f>
        <v>ISIRO - SHOP CHARA HOUSE</v>
      </c>
      <c r="F101" s="14" t="s">
        <v>262</v>
      </c>
      <c r="G101" s="14" t="s">
        <v>7</v>
      </c>
      <c r="H101" s="13">
        <v>1000000</v>
      </c>
      <c r="I101" s="13">
        <v>0</v>
      </c>
      <c r="J101" s="14" t="s">
        <v>254</v>
      </c>
      <c r="K101" s="28" t="s">
        <v>263</v>
      </c>
    </row>
    <row r="102" spans="3:11" ht="15.5" thickTop="1" thickBot="1" x14ac:dyDescent="0.4">
      <c r="C102" s="26" t="s">
        <v>274</v>
      </c>
      <c r="D102" s="12">
        <v>90174</v>
      </c>
      <c r="E102" s="105" t="str">
        <f>IFERROR(VLOOKUP($D102,NUMDIST[],2,FALSE),"DA Non trouvéé")</f>
        <v>MAHAGI - ETS JACQUES PLUS</v>
      </c>
      <c r="F102" s="12" t="s">
        <v>262</v>
      </c>
      <c r="G102" s="12" t="s">
        <v>4</v>
      </c>
      <c r="H102" s="13">
        <v>350000</v>
      </c>
      <c r="I102" s="13">
        <v>0</v>
      </c>
      <c r="J102" s="12" t="s">
        <v>254</v>
      </c>
      <c r="K102" s="28" t="s">
        <v>263</v>
      </c>
    </row>
    <row r="103" spans="3:11" ht="15.5" thickTop="1" thickBot="1" x14ac:dyDescent="0.4">
      <c r="C103" s="27" t="s">
        <v>274</v>
      </c>
      <c r="D103" s="14">
        <v>36112</v>
      </c>
      <c r="E103" s="105" t="str">
        <f>IFERROR(VLOOKUP($D103,NUMDIST[],2,FALSE),"DA Non trouvéé")</f>
        <v>SUD KIVU - ETS AGRIPPINE</v>
      </c>
      <c r="F103" s="14" t="s">
        <v>262</v>
      </c>
      <c r="G103" s="12" t="s">
        <v>4</v>
      </c>
      <c r="H103" s="13">
        <v>200000</v>
      </c>
      <c r="I103" s="13">
        <v>0</v>
      </c>
      <c r="J103" s="14" t="s">
        <v>254</v>
      </c>
      <c r="K103" s="28" t="s">
        <v>263</v>
      </c>
    </row>
    <row r="104" spans="3:11" ht="15.5" thickTop="1" thickBot="1" x14ac:dyDescent="0.4">
      <c r="C104" s="26" t="s">
        <v>274</v>
      </c>
      <c r="D104" s="12">
        <v>95817</v>
      </c>
      <c r="E104" s="105" t="str">
        <f>IFERROR(VLOOKUP($D104,NUMDIST[],2,FALSE),"DA Non trouvéé")</f>
        <v>BUNIA - YESU NI JIBU</v>
      </c>
      <c r="F104" s="12" t="s">
        <v>262</v>
      </c>
      <c r="G104" s="14" t="s">
        <v>4</v>
      </c>
      <c r="H104" s="13">
        <v>352500</v>
      </c>
      <c r="I104" s="13">
        <v>0</v>
      </c>
      <c r="J104" s="12" t="s">
        <v>254</v>
      </c>
      <c r="K104" s="28" t="s">
        <v>263</v>
      </c>
    </row>
    <row r="105" spans="3:11" ht="15.5" thickTop="1" thickBot="1" x14ac:dyDescent="0.4">
      <c r="C105" s="27" t="s">
        <v>274</v>
      </c>
      <c r="D105" s="14">
        <v>95820</v>
      </c>
      <c r="E105" s="105" t="str">
        <f>IFERROR(VLOOKUP($D105,NUMDIST[],2,FALSE),"DA Non trouvéé")</f>
        <v>MONGWALU - MAISON INTEMPORELLE</v>
      </c>
      <c r="F105" s="14" t="s">
        <v>262</v>
      </c>
      <c r="G105" s="12" t="s">
        <v>4</v>
      </c>
      <c r="H105" s="13">
        <v>481750</v>
      </c>
      <c r="I105" s="13">
        <v>0</v>
      </c>
      <c r="J105" s="14" t="s">
        <v>254</v>
      </c>
      <c r="K105" s="28" t="s">
        <v>263</v>
      </c>
    </row>
    <row r="106" spans="3:11" ht="15.5" thickTop="1" thickBot="1" x14ac:dyDescent="0.4">
      <c r="C106" s="26" t="s">
        <v>274</v>
      </c>
      <c r="D106" s="12">
        <v>33056</v>
      </c>
      <c r="E106" s="105" t="str">
        <f>IFERROR(VLOOKUP($D106,NUMDIST[],2,FALSE),"DA Non trouvéé")</f>
        <v>KIVU - GRACIA SERVICE</v>
      </c>
      <c r="F106" s="12" t="s">
        <v>262</v>
      </c>
      <c r="G106" s="14" t="s">
        <v>5</v>
      </c>
      <c r="H106" s="13">
        <v>235000</v>
      </c>
      <c r="I106" s="13">
        <v>0</v>
      </c>
      <c r="J106" s="12" t="s">
        <v>254</v>
      </c>
      <c r="K106" s="28" t="s">
        <v>263</v>
      </c>
    </row>
    <row r="107" spans="3:11" ht="15.5" thickTop="1" thickBot="1" x14ac:dyDescent="0.4">
      <c r="C107" s="27" t="s">
        <v>274</v>
      </c>
      <c r="D107" s="14">
        <v>87503</v>
      </c>
      <c r="E107" s="105" t="str">
        <f>IFERROR(VLOOKUP($D107,NUMDIST[],2,FALSE),"DA Non trouvéé")</f>
        <v>BUKAVU - ETS DIEU EST GRAND</v>
      </c>
      <c r="F107" s="14" t="s">
        <v>262</v>
      </c>
      <c r="G107" s="12" t="s">
        <v>7</v>
      </c>
      <c r="H107" s="13">
        <v>705000</v>
      </c>
      <c r="I107" s="13">
        <v>0</v>
      </c>
      <c r="J107" s="14" t="s">
        <v>254</v>
      </c>
      <c r="K107" s="28" t="s">
        <v>263</v>
      </c>
    </row>
    <row r="108" spans="3:11" ht="15.5" thickTop="1" thickBot="1" x14ac:dyDescent="0.4">
      <c r="C108" s="26" t="s">
        <v>274</v>
      </c>
      <c r="D108" s="12">
        <v>90173</v>
      </c>
      <c r="E108" s="105" t="str">
        <f>IFERROR(VLOOKUP($D108,NUMDIST[],2,FALSE),"DA Non trouvéé")</f>
        <v>BUNIA - ZI BUSINESS</v>
      </c>
      <c r="F108" s="12" t="s">
        <v>262</v>
      </c>
      <c r="G108" s="14" t="s">
        <v>19</v>
      </c>
      <c r="H108" s="13">
        <v>330500</v>
      </c>
      <c r="I108" s="13">
        <v>0</v>
      </c>
      <c r="J108" s="12" t="s">
        <v>254</v>
      </c>
      <c r="K108" s="28" t="s">
        <v>263</v>
      </c>
    </row>
    <row r="109" spans="3:11" ht="15.5" thickTop="1" thickBot="1" x14ac:dyDescent="0.4">
      <c r="C109" s="27" t="s">
        <v>274</v>
      </c>
      <c r="D109" s="14">
        <v>87013</v>
      </c>
      <c r="E109" s="105" t="str">
        <f>IFERROR(VLOOKUP($D109,NUMDIST[],2,FALSE),"DA Non trouvéé")</f>
        <v>BUNIA - JC SANS TACHES</v>
      </c>
      <c r="F109" s="14" t="s">
        <v>262</v>
      </c>
      <c r="G109" s="12" t="s">
        <v>4</v>
      </c>
      <c r="H109" s="13">
        <v>763750</v>
      </c>
      <c r="I109" s="13">
        <v>0</v>
      </c>
      <c r="J109" s="14" t="s">
        <v>254</v>
      </c>
      <c r="K109" s="28" t="s">
        <v>263</v>
      </c>
    </row>
    <row r="110" spans="3:11" ht="15.5" thickTop="1" thickBot="1" x14ac:dyDescent="0.4">
      <c r="C110" s="26" t="s">
        <v>274</v>
      </c>
      <c r="D110" s="12">
        <v>36433</v>
      </c>
      <c r="E110" s="105" t="str">
        <f>IFERROR(VLOOKUP($D110,NUMDIST[],2,FALSE),"DA Non trouvéé")</f>
        <v>BUNIA - CHEZ JUSTIN</v>
      </c>
      <c r="F110" s="12" t="s">
        <v>262</v>
      </c>
      <c r="G110" s="14" t="s">
        <v>7</v>
      </c>
      <c r="H110" s="13">
        <v>2350000</v>
      </c>
      <c r="I110" s="13">
        <v>0</v>
      </c>
      <c r="J110" s="12" t="s">
        <v>254</v>
      </c>
      <c r="K110" s="28" t="s">
        <v>263</v>
      </c>
    </row>
    <row r="111" spans="3:11" ht="15.5" thickTop="1" thickBot="1" x14ac:dyDescent="0.4">
      <c r="C111" s="27" t="s">
        <v>274</v>
      </c>
      <c r="D111" s="14">
        <v>92119</v>
      </c>
      <c r="E111" s="105" t="str">
        <f>IFERROR(VLOOKUP($D111,NUMDIST[],2,FALSE),"DA Non trouvéé")</f>
        <v>ISIRO - HADASSA BUSINESS</v>
      </c>
      <c r="F111" s="14" t="s">
        <v>262</v>
      </c>
      <c r="G111" s="12" t="s">
        <v>7</v>
      </c>
      <c r="H111" s="13">
        <v>561650</v>
      </c>
      <c r="I111" s="13">
        <v>0</v>
      </c>
      <c r="J111" s="14" t="s">
        <v>254</v>
      </c>
      <c r="K111" s="28" t="s">
        <v>263</v>
      </c>
    </row>
    <row r="112" spans="3:11" ht="15.5" thickTop="1" thickBot="1" x14ac:dyDescent="0.4">
      <c r="C112" s="26" t="s">
        <v>274</v>
      </c>
      <c r="D112" s="12">
        <v>91404</v>
      </c>
      <c r="E112" s="105" t="str">
        <f>IFERROR(VLOOKUP($D112,NUMDIST[],2,FALSE),"DA Non trouvéé")</f>
        <v>GOMA - SHOP GOMA</v>
      </c>
      <c r="F112" s="12" t="s">
        <v>262</v>
      </c>
      <c r="G112" s="14" t="s">
        <v>5</v>
      </c>
      <c r="H112" s="13">
        <v>238525</v>
      </c>
      <c r="I112" s="13">
        <v>0</v>
      </c>
      <c r="J112" s="12" t="s">
        <v>254</v>
      </c>
      <c r="K112" s="28" t="s">
        <v>263</v>
      </c>
    </row>
    <row r="113" spans="3:11" ht="15.5" thickTop="1" thickBot="1" x14ac:dyDescent="0.4">
      <c r="C113" s="27" t="s">
        <v>274</v>
      </c>
      <c r="D113" s="14">
        <v>91770</v>
      </c>
      <c r="E113" s="105" t="str">
        <f>IFERROR(VLOOKUP($D113,NUMDIST[],2,FALSE),"DA Non trouvéé")</f>
        <v>BUKAVU - MAISON JULIEN BS</v>
      </c>
      <c r="F113" s="14" t="s">
        <v>262</v>
      </c>
      <c r="G113" s="12" t="s">
        <v>5</v>
      </c>
      <c r="H113" s="13">
        <v>237350</v>
      </c>
      <c r="I113" s="13">
        <v>0</v>
      </c>
      <c r="J113" s="14" t="s">
        <v>254</v>
      </c>
      <c r="K113" s="28" t="s">
        <v>263</v>
      </c>
    </row>
    <row r="114" spans="3:11" ht="15.5" thickTop="1" thickBot="1" x14ac:dyDescent="0.4">
      <c r="C114" s="26" t="s">
        <v>274</v>
      </c>
      <c r="D114" s="12">
        <v>90164</v>
      </c>
      <c r="E114" s="105" t="str">
        <f>IFERROR(VLOOKUP($D114,NUMDIST[],2,FALSE),"DA Non trouvéé")</f>
        <v>BUNIA - ALPHA SHOP</v>
      </c>
      <c r="F114" s="12" t="s">
        <v>262</v>
      </c>
      <c r="G114" s="14" t="s">
        <v>8</v>
      </c>
      <c r="H114" s="13">
        <v>470000</v>
      </c>
      <c r="I114" s="13">
        <v>0</v>
      </c>
      <c r="J114" s="12" t="s">
        <v>254</v>
      </c>
      <c r="K114" s="28" t="s">
        <v>263</v>
      </c>
    </row>
    <row r="115" spans="3:11" ht="15.5" thickTop="1" thickBot="1" x14ac:dyDescent="0.4">
      <c r="C115" s="27" t="s">
        <v>274</v>
      </c>
      <c r="D115" s="14">
        <v>42153</v>
      </c>
      <c r="E115" s="105" t="str">
        <f>IFERROR(VLOOKUP($D115,NUMDIST[],2,FALSE),"DA Non trouvéé")</f>
        <v>BUNIA - ETS SALEM</v>
      </c>
      <c r="F115" s="14" t="s">
        <v>262</v>
      </c>
      <c r="G115" s="12" t="s">
        <v>5</v>
      </c>
      <c r="H115" s="13">
        <v>305500</v>
      </c>
      <c r="I115" s="13">
        <v>0</v>
      </c>
      <c r="J115" s="14" t="s">
        <v>254</v>
      </c>
      <c r="K115" s="28" t="s">
        <v>263</v>
      </c>
    </row>
    <row r="116" spans="3:11" ht="15.5" thickTop="1" thickBot="1" x14ac:dyDescent="0.4">
      <c r="C116" s="26" t="s">
        <v>274</v>
      </c>
      <c r="D116" s="12">
        <v>85186</v>
      </c>
      <c r="E116" s="105" t="str">
        <f>IFERROR(VLOOKUP($D116,NUMDIST[],2,FALSE),"DA Non trouvéé")</f>
        <v>BUNIA - PKANDROMA SHOP SAMS</v>
      </c>
      <c r="F116" s="12" t="s">
        <v>262</v>
      </c>
      <c r="G116" s="12" t="s">
        <v>19</v>
      </c>
      <c r="H116" s="13">
        <v>300000</v>
      </c>
      <c r="I116" s="13">
        <v>0</v>
      </c>
      <c r="J116" s="12" t="s">
        <v>254</v>
      </c>
      <c r="K116" s="28" t="s">
        <v>263</v>
      </c>
    </row>
    <row r="117" spans="3:11" ht="15.5" thickTop="1" thickBot="1" x14ac:dyDescent="0.4">
      <c r="C117" s="27" t="s">
        <v>274</v>
      </c>
      <c r="D117" s="14">
        <v>34597</v>
      </c>
      <c r="E117" s="105" t="str">
        <f>IFERROR(VLOOKUP($D117,NUMDIST[],2,FALSE),"DA Non trouvéé")</f>
        <v>ETABLISSEMENT-  JPS DM BIGO</v>
      </c>
      <c r="F117" s="14" t="s">
        <v>262</v>
      </c>
      <c r="G117" s="14" t="s">
        <v>7</v>
      </c>
      <c r="H117" s="13">
        <v>1504000</v>
      </c>
      <c r="I117" s="13">
        <v>0</v>
      </c>
      <c r="J117" s="14" t="s">
        <v>254</v>
      </c>
      <c r="K117" s="28" t="s">
        <v>263</v>
      </c>
    </row>
    <row r="118" spans="3:11" ht="15.5" thickTop="1" thickBot="1" x14ac:dyDescent="0.4">
      <c r="C118" s="26" t="s">
        <v>274</v>
      </c>
      <c r="D118" s="12">
        <v>34597</v>
      </c>
      <c r="E118" s="105" t="str">
        <f>IFERROR(VLOOKUP($D118,NUMDIST[],2,FALSE),"DA Non trouvéé")</f>
        <v>ETABLISSEMENT-  JPS DM BIGO</v>
      </c>
      <c r="F118" s="12" t="s">
        <v>262</v>
      </c>
      <c r="G118" s="12" t="s">
        <v>19</v>
      </c>
      <c r="H118" s="13">
        <v>423000</v>
      </c>
      <c r="I118" s="13">
        <v>0</v>
      </c>
      <c r="J118" s="12" t="s">
        <v>254</v>
      </c>
      <c r="K118" s="28" t="s">
        <v>263</v>
      </c>
    </row>
    <row r="119" spans="3:11" ht="15.5" thickTop="1" thickBot="1" x14ac:dyDescent="0.4">
      <c r="C119" s="27" t="s">
        <v>274</v>
      </c>
      <c r="D119" s="14">
        <v>99337</v>
      </c>
      <c r="E119" s="105" t="str">
        <f>IFERROR(VLOOKUP($D119,NUMDIST[],2,FALSE),"DA Non trouvéé")</f>
        <v>ISIRO - SHOP CHARA HOUSE</v>
      </c>
      <c r="F119" s="14" t="s">
        <v>262</v>
      </c>
      <c r="G119" s="14" t="s">
        <v>19</v>
      </c>
      <c r="H119" s="13">
        <v>352500</v>
      </c>
      <c r="I119" s="13">
        <v>0</v>
      </c>
      <c r="J119" s="14" t="s">
        <v>254</v>
      </c>
      <c r="K119" s="28" t="s">
        <v>263</v>
      </c>
    </row>
    <row r="120" spans="3:11" ht="15.5" thickTop="1" thickBot="1" x14ac:dyDescent="0.4">
      <c r="C120" s="26" t="s">
        <v>274</v>
      </c>
      <c r="D120" s="12">
        <v>104875</v>
      </c>
      <c r="E120" s="105" t="str">
        <f>IFERROR(VLOOKUP($D120,NUMDIST[],2,FALSE),"DA Non trouvéé")</f>
        <v>BUNIA - MAISON ME DHELE</v>
      </c>
      <c r="F120" s="12" t="s">
        <v>262</v>
      </c>
      <c r="G120" s="12" t="s">
        <v>19</v>
      </c>
      <c r="H120" s="13">
        <v>117500</v>
      </c>
      <c r="I120" s="13">
        <v>0</v>
      </c>
      <c r="J120" s="12" t="s">
        <v>254</v>
      </c>
      <c r="K120" s="28" t="s">
        <v>263</v>
      </c>
    </row>
    <row r="121" spans="3:11" ht="15.5" thickTop="1" thickBot="1" x14ac:dyDescent="0.4">
      <c r="C121" s="27" t="s">
        <v>274</v>
      </c>
      <c r="D121" s="14">
        <v>87013</v>
      </c>
      <c r="E121" s="105" t="str">
        <f>IFERROR(VLOOKUP($D121,NUMDIST[],2,FALSE),"DA Non trouvéé")</f>
        <v>BUNIA - JC SANS TACHES</v>
      </c>
      <c r="F121" s="14" t="s">
        <v>262</v>
      </c>
      <c r="G121" s="14" t="s">
        <v>4</v>
      </c>
      <c r="H121" s="13">
        <v>378350</v>
      </c>
      <c r="I121" s="13">
        <v>0</v>
      </c>
      <c r="J121" s="14" t="s">
        <v>254</v>
      </c>
      <c r="K121" s="28" t="s">
        <v>263</v>
      </c>
    </row>
    <row r="122" spans="3:11" ht="15.5" thickTop="1" thickBot="1" x14ac:dyDescent="0.4">
      <c r="C122" s="26" t="s">
        <v>274</v>
      </c>
      <c r="D122" s="12">
        <v>85189</v>
      </c>
      <c r="E122" s="105" t="str">
        <f>IFERROR(VLOOKUP($D122,NUMDIST[],2,FALSE),"DA Non trouvéé")</f>
        <v>GOMA - CHEZ ZEPHERIN</v>
      </c>
      <c r="F122" s="12" t="s">
        <v>262</v>
      </c>
      <c r="G122" s="12" t="s">
        <v>5</v>
      </c>
      <c r="H122" s="13">
        <v>235000</v>
      </c>
      <c r="I122" s="13">
        <v>0</v>
      </c>
      <c r="J122" s="12" t="s">
        <v>254</v>
      </c>
      <c r="K122" s="28" t="s">
        <v>263</v>
      </c>
    </row>
    <row r="123" spans="3:11" ht="15.5" thickTop="1" thickBot="1" x14ac:dyDescent="0.4">
      <c r="C123" s="27" t="s">
        <v>274</v>
      </c>
      <c r="D123" s="14">
        <v>55349</v>
      </c>
      <c r="E123" s="105" t="str">
        <f>IFERROR(VLOOKUP($D123,NUMDIST[],2,FALSE),"DA Non trouvéé")</f>
        <v>ISIRO - LES AMIS</v>
      </c>
      <c r="F123" s="14" t="s">
        <v>262</v>
      </c>
      <c r="G123" s="14" t="s">
        <v>7</v>
      </c>
      <c r="H123" s="13">
        <v>940000</v>
      </c>
      <c r="I123" s="13">
        <v>0</v>
      </c>
      <c r="J123" s="14" t="s">
        <v>254</v>
      </c>
      <c r="K123" s="28" t="s">
        <v>263</v>
      </c>
    </row>
    <row r="124" spans="3:11" ht="15.5" thickTop="1" thickBot="1" x14ac:dyDescent="0.4">
      <c r="C124" s="26" t="s">
        <v>274</v>
      </c>
      <c r="D124" s="12">
        <v>92117</v>
      </c>
      <c r="E124" s="105" t="str">
        <f>IFERROR(VLOOKUP($D124,NUMDIST[],2,FALSE),"DA Non trouvéé")</f>
        <v>KISANGANI - STAFF FLORY</v>
      </c>
      <c r="F124" s="12" t="s">
        <v>262</v>
      </c>
      <c r="G124" s="12" t="s">
        <v>7</v>
      </c>
      <c r="H124" s="13">
        <v>1175000</v>
      </c>
      <c r="I124" s="13">
        <v>0</v>
      </c>
      <c r="J124" s="12" t="s">
        <v>254</v>
      </c>
      <c r="K124" s="28" t="s">
        <v>263</v>
      </c>
    </row>
    <row r="125" spans="3:11" ht="15.5" thickTop="1" thickBot="1" x14ac:dyDescent="0.4">
      <c r="C125" s="27" t="s">
        <v>274</v>
      </c>
      <c r="D125" s="14">
        <v>85827</v>
      </c>
      <c r="E125" s="105" t="str">
        <f>IFERROR(VLOOKUP($D125,NUMDIST[],2,FALSE),"DA Non trouvéé")</f>
        <v>KISANGANI - SHOP LA GRACE</v>
      </c>
      <c r="F125" s="14" t="s">
        <v>262</v>
      </c>
      <c r="G125" s="14" t="s">
        <v>7</v>
      </c>
      <c r="H125" s="13">
        <v>881250</v>
      </c>
      <c r="I125" s="13">
        <v>0</v>
      </c>
      <c r="J125" s="14" t="s">
        <v>254</v>
      </c>
      <c r="K125" s="28"/>
    </row>
    <row r="126" spans="3:11" ht="15.5" thickTop="1" thickBot="1" x14ac:dyDescent="0.4">
      <c r="C126" s="26" t="s">
        <v>274</v>
      </c>
      <c r="D126" s="12">
        <v>103979</v>
      </c>
      <c r="E126" s="105" t="str">
        <f>IFERROR(VLOOKUP($D126,NUMDIST[],2,FALSE),"DA Non trouvéé")</f>
        <v>ARU -SHOP ELOHIM</v>
      </c>
      <c r="F126" s="12" t="s">
        <v>262</v>
      </c>
      <c r="G126" s="12" t="s">
        <v>4</v>
      </c>
      <c r="H126" s="13">
        <v>705000</v>
      </c>
      <c r="I126" s="13">
        <v>0</v>
      </c>
      <c r="J126" s="12" t="s">
        <v>254</v>
      </c>
      <c r="K126" s="28"/>
    </row>
    <row r="127" spans="3:11" ht="15.5" thickTop="1" thickBot="1" x14ac:dyDescent="0.4">
      <c r="C127" s="27" t="s">
        <v>274</v>
      </c>
      <c r="D127" s="14">
        <v>104828</v>
      </c>
      <c r="E127" s="105" t="str">
        <f>IFERROR(VLOOKUP($D127,NUMDIST[],2,FALSE),"DA Non trouvéé")</f>
        <v>WAMBA - MAISON OKAPI</v>
      </c>
      <c r="F127" s="14" t="s">
        <v>262</v>
      </c>
      <c r="G127" s="14" t="s">
        <v>4</v>
      </c>
      <c r="H127" s="13">
        <v>60000</v>
      </c>
      <c r="I127" s="13">
        <v>0</v>
      </c>
      <c r="J127" s="14" t="s">
        <v>254</v>
      </c>
      <c r="K127" s="28"/>
    </row>
    <row r="128" spans="3:11" ht="15.5" thickTop="1" thickBot="1" x14ac:dyDescent="0.4">
      <c r="C128" s="26" t="s">
        <v>274</v>
      </c>
      <c r="D128" s="12">
        <v>90182</v>
      </c>
      <c r="E128" s="105" t="str">
        <f>IFERROR(VLOOKUP($D128,NUMDIST[],2,FALSE),"DA Non trouvéé")</f>
        <v>BUNIA - PAPA MALO</v>
      </c>
      <c r="F128" s="12" t="s">
        <v>262</v>
      </c>
      <c r="G128" s="12" t="s">
        <v>7</v>
      </c>
      <c r="H128" s="13">
        <v>399500</v>
      </c>
      <c r="I128" s="13">
        <v>0</v>
      </c>
      <c r="J128" s="12" t="s">
        <v>254</v>
      </c>
      <c r="K128" s="28"/>
    </row>
    <row r="129" spans="3:11" ht="15.5" thickTop="1" thickBot="1" x14ac:dyDescent="0.4">
      <c r="C129" s="27" t="s">
        <v>274</v>
      </c>
      <c r="D129" s="14">
        <v>55350</v>
      </c>
      <c r="E129" s="105" t="str">
        <f>IFERROR(VLOOKUP($D129,NUMDIST[],2,FALSE),"DA Non trouvéé")</f>
        <v>OICHA - CLINIQUE ORDINATEURS</v>
      </c>
      <c r="F129" s="14" t="s">
        <v>262</v>
      </c>
      <c r="G129" s="12" t="s">
        <v>4</v>
      </c>
      <c r="H129" s="13">
        <v>305500</v>
      </c>
      <c r="I129" s="13">
        <v>0</v>
      </c>
      <c r="J129" s="14" t="s">
        <v>254</v>
      </c>
      <c r="K129" s="28"/>
    </row>
    <row r="130" spans="3:11" ht="15.5" thickTop="1" thickBot="1" x14ac:dyDescent="0.4">
      <c r="C130" s="26" t="s">
        <v>274</v>
      </c>
      <c r="D130" s="12">
        <v>90174</v>
      </c>
      <c r="E130" s="105" t="str">
        <f>IFERROR(VLOOKUP($D130,NUMDIST[],2,FALSE),"DA Non trouvéé")</f>
        <v>MAHAGI - ETS JACQUES PLUS</v>
      </c>
      <c r="F130" s="12" t="s">
        <v>262</v>
      </c>
      <c r="G130" s="14" t="s">
        <v>4</v>
      </c>
      <c r="H130" s="13">
        <v>305000</v>
      </c>
      <c r="I130" s="13">
        <v>0</v>
      </c>
      <c r="J130" s="12" t="s">
        <v>254</v>
      </c>
      <c r="K130" s="28"/>
    </row>
    <row r="131" spans="3:11" ht="15.5" thickTop="1" thickBot="1" x14ac:dyDescent="0.4">
      <c r="C131" s="26" t="s">
        <v>274</v>
      </c>
      <c r="D131" s="12">
        <v>36710</v>
      </c>
      <c r="E131" s="105" t="str">
        <f>IFERROR(VLOOKUP($D131,NUMDIST[],2,FALSE),"DA Non trouvéé")</f>
        <v>BUNIA - BOUTIQUE JPS DM</v>
      </c>
      <c r="F131" s="12" t="s">
        <v>262</v>
      </c>
      <c r="G131" s="14" t="s">
        <v>19</v>
      </c>
      <c r="H131" s="13">
        <v>3841700</v>
      </c>
      <c r="I131" s="13">
        <v>0</v>
      </c>
      <c r="J131" s="12" t="s">
        <v>254</v>
      </c>
      <c r="K131" s="28"/>
    </row>
    <row r="132" spans="3:11" ht="15.5" thickTop="1" thickBot="1" x14ac:dyDescent="0.4">
      <c r="C132" s="26" t="s">
        <v>274</v>
      </c>
      <c r="D132" s="12">
        <v>91776</v>
      </c>
      <c r="E132" s="105" t="str">
        <f>IFERROR(VLOOKUP($D132,NUMDIST[],2,FALSE),"DA Non trouvéé")</f>
        <v>BUNIA - IDEAL BUSINESS</v>
      </c>
      <c r="F132" s="12" t="s">
        <v>262</v>
      </c>
      <c r="G132" s="14" t="s">
        <v>19</v>
      </c>
      <c r="H132" s="13">
        <v>587500</v>
      </c>
      <c r="I132" s="13">
        <v>0</v>
      </c>
      <c r="J132" s="12" t="s">
        <v>254</v>
      </c>
      <c r="K132" s="28"/>
    </row>
    <row r="133" spans="3:11" ht="15.5" thickTop="1" thickBot="1" x14ac:dyDescent="0.4">
      <c r="C133" s="26" t="s">
        <v>274</v>
      </c>
      <c r="D133" s="12">
        <v>42153</v>
      </c>
      <c r="E133" s="105" t="str">
        <f>IFERROR(VLOOKUP($D133,NUMDIST[],2,FALSE),"DA Non trouvéé")</f>
        <v>BUNIA - ETS SALEM</v>
      </c>
      <c r="F133" s="12" t="s">
        <v>262</v>
      </c>
      <c r="G133" s="14" t="s">
        <v>5</v>
      </c>
      <c r="H133" s="13">
        <v>282000</v>
      </c>
      <c r="I133" s="13">
        <v>0</v>
      </c>
      <c r="J133" s="12" t="s">
        <v>254</v>
      </c>
      <c r="K133" s="28"/>
    </row>
    <row r="134" spans="3:11" ht="15.5" thickTop="1" thickBot="1" x14ac:dyDescent="0.4">
      <c r="C134" s="26" t="s">
        <v>274</v>
      </c>
      <c r="D134" s="12">
        <v>84318</v>
      </c>
      <c r="E134" s="105" t="str">
        <f>IFERROR(VLOOKUP($D134,NUMDIST[],2,FALSE),"DA Non trouvéé")</f>
        <v>BUTEMBO - FONDATION RUMY</v>
      </c>
      <c r="F134" s="12" t="s">
        <v>262</v>
      </c>
      <c r="G134" s="14" t="s">
        <v>7</v>
      </c>
      <c r="H134" s="13">
        <v>235000</v>
      </c>
      <c r="I134" s="13">
        <v>0</v>
      </c>
      <c r="J134" s="12" t="s">
        <v>254</v>
      </c>
      <c r="K134" s="28"/>
    </row>
    <row r="135" spans="3:11" ht="15.5" thickTop="1" thickBot="1" x14ac:dyDescent="0.4">
      <c r="C135" s="26" t="s">
        <v>274</v>
      </c>
      <c r="D135" s="12">
        <v>85182</v>
      </c>
      <c r="E135" s="105" t="str">
        <f>IFERROR(VLOOKUP($D135,NUMDIST[],2,FALSE),"DA Non trouvéé")</f>
        <v>BUNIA - AD INVESTMENT</v>
      </c>
      <c r="F135" s="12" t="s">
        <v>262</v>
      </c>
      <c r="G135" s="14" t="s">
        <v>19</v>
      </c>
      <c r="H135" s="13">
        <v>705000</v>
      </c>
      <c r="I135" s="13">
        <v>0</v>
      </c>
      <c r="J135" s="12" t="s">
        <v>254</v>
      </c>
      <c r="K135" s="28"/>
    </row>
    <row r="136" spans="3:11" ht="15.5" thickTop="1" thickBot="1" x14ac:dyDescent="0.4">
      <c r="C136" s="26" t="s">
        <v>274</v>
      </c>
      <c r="D136" s="12">
        <v>90192</v>
      </c>
      <c r="E136" s="105" t="str">
        <f>IFERROR(VLOOKUP($D136,NUMDIST[],2,FALSE),"DA Non trouvéé")</f>
        <v>BUKAVU - ETS LA GLOIRE</v>
      </c>
      <c r="F136" s="12" t="s">
        <v>262</v>
      </c>
      <c r="G136" s="14" t="s">
        <v>5</v>
      </c>
      <c r="H136" s="13">
        <v>599250</v>
      </c>
      <c r="I136" s="13">
        <v>0</v>
      </c>
      <c r="J136" s="12" t="s">
        <v>254</v>
      </c>
      <c r="K136" s="28"/>
    </row>
    <row r="137" spans="3:11" ht="15.5" thickTop="1" thickBot="1" x14ac:dyDescent="0.4">
      <c r="C137" s="26" t="s">
        <v>274</v>
      </c>
      <c r="D137" s="12">
        <v>36430</v>
      </c>
      <c r="E137" s="105" t="str">
        <f>IFERROR(VLOOKUP($D137,NUMDIST[],2,FALSE),"DA Non trouvéé")</f>
        <v>Bunia - ETS BOTOAFINE</v>
      </c>
      <c r="F137" s="12" t="s">
        <v>262</v>
      </c>
      <c r="G137" s="14" t="s">
        <v>19</v>
      </c>
      <c r="H137" s="13">
        <v>229000</v>
      </c>
      <c r="I137" s="13">
        <v>0</v>
      </c>
      <c r="J137" s="12" t="s">
        <v>254</v>
      </c>
      <c r="K137" s="28"/>
    </row>
    <row r="138" spans="3:11" ht="15.5" thickTop="1" thickBot="1" x14ac:dyDescent="0.4">
      <c r="C138" s="26" t="s">
        <v>274</v>
      </c>
      <c r="D138" s="12">
        <v>105534</v>
      </c>
      <c r="E138" s="105" t="str">
        <f>IFERROR(VLOOKUP($D138,NUMDIST[],2,FALSE),"DA Non trouvéé")</f>
        <v>ARU - ANSELME SHOP</v>
      </c>
      <c r="F138" s="12" t="s">
        <v>262</v>
      </c>
      <c r="G138" s="14" t="s">
        <v>5</v>
      </c>
      <c r="H138" s="13">
        <v>352500</v>
      </c>
      <c r="I138" s="13">
        <v>0</v>
      </c>
      <c r="J138" s="12" t="s">
        <v>254</v>
      </c>
      <c r="K138" s="28"/>
    </row>
    <row r="139" spans="3:11" ht="15.5" thickTop="1" thickBot="1" x14ac:dyDescent="0.4">
      <c r="C139" s="26" t="s">
        <v>274</v>
      </c>
      <c r="D139" s="12">
        <v>42152</v>
      </c>
      <c r="E139" s="105" t="str">
        <f>IFERROR(VLOOKUP($D139,NUMDIST[],2,FALSE),"DA Non trouvéé")</f>
        <v>Bunia - Ets SKY</v>
      </c>
      <c r="F139" s="12" t="s">
        <v>262</v>
      </c>
      <c r="G139" s="14" t="s">
        <v>10</v>
      </c>
      <c r="H139" s="13">
        <v>1234500</v>
      </c>
      <c r="I139" s="13">
        <v>0</v>
      </c>
      <c r="J139" s="12" t="s">
        <v>254</v>
      </c>
      <c r="K139" s="28"/>
    </row>
    <row r="140" spans="3:11" ht="15.5" thickTop="1" thickBot="1" x14ac:dyDescent="0.4">
      <c r="C140" s="26" t="s">
        <v>274</v>
      </c>
      <c r="D140" s="12">
        <v>104828</v>
      </c>
      <c r="E140" s="105" t="str">
        <f>IFERROR(VLOOKUP($D140,NUMDIST[],2,FALSE),"DA Non trouvéé")</f>
        <v>WAMBA - MAISON OKAPI</v>
      </c>
      <c r="F140" s="12" t="s">
        <v>262</v>
      </c>
      <c r="G140" s="14" t="s">
        <v>4</v>
      </c>
      <c r="H140" s="13">
        <v>55000</v>
      </c>
      <c r="I140" s="13">
        <v>0</v>
      </c>
      <c r="J140" s="12" t="s">
        <v>254</v>
      </c>
      <c r="K140" s="28"/>
    </row>
    <row r="141" spans="3:11" ht="15.5" thickTop="1" thickBot="1" x14ac:dyDescent="0.4">
      <c r="C141" s="26" t="s">
        <v>274</v>
      </c>
      <c r="D141" s="12">
        <v>99337</v>
      </c>
      <c r="E141" s="105" t="str">
        <f>IFERROR(VLOOKUP($D141,NUMDIST[],2,FALSE),"DA Non trouvéé")</f>
        <v>ISIRO - SHOP CHARA HOUSE</v>
      </c>
      <c r="F141" s="12" t="s">
        <v>262</v>
      </c>
      <c r="G141" s="14" t="s">
        <v>7</v>
      </c>
      <c r="H141" s="13">
        <v>3000950</v>
      </c>
      <c r="I141" s="13">
        <v>0</v>
      </c>
      <c r="J141" s="12" t="s">
        <v>254</v>
      </c>
      <c r="K141" s="28"/>
    </row>
    <row r="142" spans="3:11" ht="15.5" thickTop="1" thickBot="1" x14ac:dyDescent="0.4">
      <c r="C142" s="26" t="s">
        <v>274</v>
      </c>
      <c r="D142" s="12">
        <v>103979</v>
      </c>
      <c r="E142" s="105" t="str">
        <f>IFERROR(VLOOKUP($D142,NUMDIST[],2,FALSE),"DA Non trouvéé")</f>
        <v>ARU -SHOP ELOHIM</v>
      </c>
      <c r="F142" s="12" t="s">
        <v>262</v>
      </c>
      <c r="G142" s="14" t="s">
        <v>4</v>
      </c>
      <c r="H142" s="13">
        <v>300000</v>
      </c>
      <c r="I142" s="13">
        <v>0</v>
      </c>
      <c r="J142" s="12" t="s">
        <v>254</v>
      </c>
      <c r="K142" s="28"/>
    </row>
    <row r="143" spans="3:11" ht="15.5" thickTop="1" thickBot="1" x14ac:dyDescent="0.4">
      <c r="C143" s="26" t="s">
        <v>274</v>
      </c>
      <c r="D143" s="12">
        <v>71084</v>
      </c>
      <c r="E143" s="105" t="str">
        <f>IFERROR(VLOOKUP($D143,NUMDIST[],2,FALSE),"DA Non trouvéé")</f>
        <v>DURBA - Ets HUSSUMA BUSINESS</v>
      </c>
      <c r="F143" s="12" t="s">
        <v>262</v>
      </c>
      <c r="G143" s="14" t="s">
        <v>7</v>
      </c>
      <c r="H143" s="13">
        <v>7853700</v>
      </c>
      <c r="I143" s="13">
        <v>0</v>
      </c>
      <c r="J143" s="12" t="s">
        <v>254</v>
      </c>
      <c r="K143" s="28"/>
    </row>
    <row r="144" spans="3:11" ht="15.5" thickTop="1" thickBot="1" x14ac:dyDescent="0.4">
      <c r="C144" s="26" t="s">
        <v>274</v>
      </c>
      <c r="D144" s="12">
        <v>71102</v>
      </c>
      <c r="E144" s="105" t="str">
        <f>IFERROR(VLOOKUP($D144,NUMDIST[],2,FALSE),"DA Non trouvéé")</f>
        <v>GOMA - BOUTIQUE JPS DM</v>
      </c>
      <c r="F144" s="12" t="s">
        <v>262</v>
      </c>
      <c r="G144" s="14" t="s">
        <v>5</v>
      </c>
      <c r="H144" s="13">
        <v>235000</v>
      </c>
      <c r="I144" s="13">
        <v>0</v>
      </c>
      <c r="J144" s="12" t="s">
        <v>254</v>
      </c>
      <c r="K144" s="28"/>
    </row>
    <row r="145" spans="3:11" ht="15.5" thickTop="1" thickBot="1" x14ac:dyDescent="0.4">
      <c r="C145" s="26" t="s">
        <v>274</v>
      </c>
      <c r="D145" s="12">
        <v>90176</v>
      </c>
      <c r="E145" s="105" t="str">
        <f>IFERROR(VLOOKUP($D145,NUMDIST[],2,FALSE),"DA Non trouvéé")</f>
        <v>BUNIA - SHOP MATATA</v>
      </c>
      <c r="F145" s="12" t="s">
        <v>262</v>
      </c>
      <c r="G145" s="14" t="s">
        <v>7</v>
      </c>
      <c r="H145" s="13">
        <v>470000</v>
      </c>
      <c r="I145" s="13">
        <v>0</v>
      </c>
      <c r="J145" s="12" t="s">
        <v>254</v>
      </c>
      <c r="K145" s="28"/>
    </row>
    <row r="146" spans="3:11" ht="15.5" thickTop="1" thickBot="1" x14ac:dyDescent="0.4">
      <c r="C146" s="26" t="s">
        <v>274</v>
      </c>
      <c r="D146" s="12">
        <v>87503</v>
      </c>
      <c r="E146" s="105" t="str">
        <f>IFERROR(VLOOKUP($D146,NUMDIST[],2,FALSE),"DA Non trouvéé")</f>
        <v>BUKAVU - ETS DIEU EST GRAND</v>
      </c>
      <c r="F146" s="12" t="s">
        <v>262</v>
      </c>
      <c r="G146" s="14" t="s">
        <v>5</v>
      </c>
      <c r="H146" s="13">
        <v>706000</v>
      </c>
      <c r="I146" s="13">
        <v>0</v>
      </c>
      <c r="J146" s="12" t="s">
        <v>254</v>
      </c>
      <c r="K146" s="28"/>
    </row>
    <row r="147" spans="3:11" ht="15.5" thickTop="1" thickBot="1" x14ac:dyDescent="0.4">
      <c r="C147" s="26" t="s">
        <v>274</v>
      </c>
      <c r="D147" s="12">
        <v>90184</v>
      </c>
      <c r="E147" s="105" t="str">
        <f>IFERROR(VLOOKUP($D147,NUMDIST[],2,FALSE),"DA Non trouvéé")</f>
        <v>BUNIA - ETS MOISE MESO</v>
      </c>
      <c r="F147" s="12" t="s">
        <v>262</v>
      </c>
      <c r="G147" s="14" t="s">
        <v>19</v>
      </c>
      <c r="H147" s="13">
        <v>470000</v>
      </c>
      <c r="I147" s="13">
        <v>0</v>
      </c>
      <c r="J147" s="12" t="s">
        <v>254</v>
      </c>
      <c r="K147" s="28"/>
    </row>
    <row r="148" spans="3:11" ht="15.5" thickTop="1" thickBot="1" x14ac:dyDescent="0.4">
      <c r="C148" s="51" t="s">
        <v>274</v>
      </c>
      <c r="D148" s="12">
        <v>36431</v>
      </c>
      <c r="E148" s="105" t="str">
        <f>IFERROR(VLOOKUP($D148,NUMDIST[],2,FALSE),"DA Non trouvéé")</f>
        <v>Isiro - MACAMPAGNE</v>
      </c>
      <c r="F148" s="12" t="s">
        <v>262</v>
      </c>
      <c r="G148" s="14" t="s">
        <v>8</v>
      </c>
      <c r="H148" s="13">
        <v>1017000</v>
      </c>
      <c r="I148" s="13">
        <v>0</v>
      </c>
      <c r="J148" s="12" t="s">
        <v>254</v>
      </c>
      <c r="K148" s="28"/>
    </row>
    <row r="149" spans="3:11" ht="15.5" thickTop="1" thickBot="1" x14ac:dyDescent="0.4">
      <c r="C149" s="51" t="s">
        <v>274</v>
      </c>
      <c r="D149" s="12">
        <v>104828</v>
      </c>
      <c r="E149" s="105" t="str">
        <f>IFERROR(VLOOKUP($D149,NUMDIST[],2,FALSE),"DA Non trouvéé")</f>
        <v>WAMBA - MAISON OKAPI</v>
      </c>
      <c r="F149" s="12" t="s">
        <v>262</v>
      </c>
      <c r="G149" s="14" t="s">
        <v>4</v>
      </c>
      <c r="H149" s="13">
        <v>50000</v>
      </c>
      <c r="I149" s="13">
        <v>0</v>
      </c>
      <c r="J149" s="12" t="s">
        <v>254</v>
      </c>
      <c r="K149" s="28"/>
    </row>
    <row r="150" spans="3:11" ht="15.5" thickTop="1" thickBot="1" x14ac:dyDescent="0.4">
      <c r="C150" s="51" t="s">
        <v>274</v>
      </c>
      <c r="D150" s="12">
        <v>36433</v>
      </c>
      <c r="E150" s="105" t="str">
        <f>IFERROR(VLOOKUP($D150,NUMDIST[],2,FALSE),"DA Non trouvéé")</f>
        <v>BUNIA - CHEZ JUSTIN</v>
      </c>
      <c r="F150" s="12" t="s">
        <v>262</v>
      </c>
      <c r="G150" s="14" t="s">
        <v>7</v>
      </c>
      <c r="H150" s="13">
        <v>2350000</v>
      </c>
      <c r="I150" s="13">
        <v>0</v>
      </c>
      <c r="J150" s="12" t="s">
        <v>254</v>
      </c>
      <c r="K150" s="28"/>
    </row>
    <row r="151" spans="3:11" ht="15.5" thickTop="1" thickBot="1" x14ac:dyDescent="0.4">
      <c r="C151" s="51" t="s">
        <v>274</v>
      </c>
      <c r="D151" s="12">
        <v>95820</v>
      </c>
      <c r="E151" s="105" t="str">
        <f>IFERROR(VLOOKUP($D151,NUMDIST[],2,FALSE),"DA Non trouvéé")</f>
        <v>MONGWALU - MAISON INTEMPORELLE</v>
      </c>
      <c r="F151" s="12" t="s">
        <v>262</v>
      </c>
      <c r="G151" s="14" t="s">
        <v>4</v>
      </c>
      <c r="H151" s="13">
        <v>782550</v>
      </c>
      <c r="I151" s="13">
        <v>0</v>
      </c>
      <c r="J151" s="12" t="s">
        <v>254</v>
      </c>
      <c r="K151" s="28"/>
    </row>
    <row r="152" spans="3:11" ht="15.5" thickTop="1" thickBot="1" x14ac:dyDescent="0.4">
      <c r="C152" s="51">
        <v>46204</v>
      </c>
      <c r="D152" s="12">
        <v>95823</v>
      </c>
      <c r="E152" s="105" t="str">
        <f>IFERROR(VLOOKUP($D152,NUMDIST[],2,FALSE),"DA Non trouvéé")</f>
        <v>BUNIA - ETS CANAL BIA</v>
      </c>
      <c r="F152" s="12" t="s">
        <v>262</v>
      </c>
      <c r="G152" s="14" t="s">
        <v>19</v>
      </c>
      <c r="H152" s="13">
        <v>705000</v>
      </c>
      <c r="I152" s="13">
        <v>0</v>
      </c>
      <c r="J152" s="12" t="s">
        <v>254</v>
      </c>
      <c r="K152" s="28"/>
    </row>
    <row r="153" spans="3:11" ht="15.5" thickTop="1" thickBot="1" x14ac:dyDescent="0.4">
      <c r="C153" s="51">
        <v>46204</v>
      </c>
      <c r="D153" s="12">
        <v>90134</v>
      </c>
      <c r="E153" s="105" t="str">
        <f>IFERROR(VLOOKUP($D153,NUMDIST[],2,FALSE),"DA Non trouvéé")</f>
        <v>KISANGANI - ETS SOLUTION PLUS</v>
      </c>
      <c r="F153" s="12" t="s">
        <v>262</v>
      </c>
      <c r="G153" s="14" t="s">
        <v>4</v>
      </c>
      <c r="H153" s="13">
        <v>493500</v>
      </c>
      <c r="I153" s="13">
        <v>0</v>
      </c>
      <c r="J153" s="12" t="s">
        <v>254</v>
      </c>
      <c r="K153" s="28"/>
    </row>
    <row r="154" spans="3:11" ht="15.5" thickTop="1" thickBot="1" x14ac:dyDescent="0.4">
      <c r="C154" s="51">
        <v>46204</v>
      </c>
      <c r="D154" s="12">
        <v>106304</v>
      </c>
      <c r="E154" s="105" t="str">
        <f>IFERROR(VLOOKUP($D154,NUMDIST[],2,FALSE),"DA Non trouvéé")</f>
        <v>NORD KIVU - PRINCE BUSINESS</v>
      </c>
      <c r="F154" s="12" t="s">
        <v>262</v>
      </c>
      <c r="G154" s="14" t="s">
        <v>5</v>
      </c>
      <c r="H154" s="13">
        <v>235000</v>
      </c>
      <c r="I154" s="13">
        <v>0</v>
      </c>
      <c r="J154" s="12" t="s">
        <v>254</v>
      </c>
      <c r="K154" s="28"/>
    </row>
    <row r="155" spans="3:11" ht="15.5" thickTop="1" thickBot="1" x14ac:dyDescent="0.4">
      <c r="C155" s="51">
        <v>46204</v>
      </c>
      <c r="D155" s="12">
        <v>91380</v>
      </c>
      <c r="E155" s="105" t="str">
        <f>IFERROR(VLOOKUP($D155,NUMDIST[],2,FALSE),"DA Non trouvéé")</f>
        <v>GOMA - MUNZOMBO MATEMBELA</v>
      </c>
      <c r="F155" s="12" t="s">
        <v>262</v>
      </c>
      <c r="G155" s="14" t="s">
        <v>5</v>
      </c>
      <c r="H155" s="13">
        <v>705000</v>
      </c>
      <c r="I155" s="13">
        <v>0</v>
      </c>
      <c r="J155" s="12" t="s">
        <v>254</v>
      </c>
      <c r="K155" s="28"/>
    </row>
    <row r="156" spans="3:11" ht="15.5" thickTop="1" thickBot="1" x14ac:dyDescent="0.4">
      <c r="C156" s="51">
        <v>46204</v>
      </c>
      <c r="D156" s="12">
        <v>34598</v>
      </c>
      <c r="E156" s="105" t="str">
        <f>IFERROR(VLOOKUP($D156,NUMDIST[],2,FALSE),"DA Non trouvéé")</f>
        <v>ETABLISSEMENT JPS DM DURBA</v>
      </c>
      <c r="F156" s="12" t="s">
        <v>262</v>
      </c>
      <c r="G156" s="14" t="s">
        <v>8</v>
      </c>
      <c r="H156" s="13">
        <v>400000</v>
      </c>
      <c r="I156" s="13">
        <v>0</v>
      </c>
      <c r="J156" s="12" t="s">
        <v>254</v>
      </c>
      <c r="K156" s="28"/>
    </row>
    <row r="157" spans="3:11" ht="15.5" thickTop="1" thickBot="1" x14ac:dyDescent="0.4">
      <c r="C157" s="51">
        <v>46204</v>
      </c>
      <c r="D157" s="12">
        <v>59057</v>
      </c>
      <c r="E157" s="105" t="str">
        <f>IFERROR(VLOOKUP($D157,NUMDIST[],2,FALSE),"DA Non trouvéé")</f>
        <v>ITURI - ETS BJSE</v>
      </c>
      <c r="F157" s="12" t="s">
        <v>262</v>
      </c>
      <c r="G157" s="14" t="s">
        <v>19</v>
      </c>
      <c r="H157" s="13">
        <v>3525000</v>
      </c>
      <c r="I157" s="13">
        <v>0</v>
      </c>
      <c r="J157" s="12" t="s">
        <v>254</v>
      </c>
      <c r="K157" s="28"/>
    </row>
    <row r="158" spans="3:11" ht="15.5" thickTop="1" thickBot="1" x14ac:dyDescent="0.4">
      <c r="C158" s="51">
        <v>46204</v>
      </c>
      <c r="D158" s="12">
        <v>55350</v>
      </c>
      <c r="E158" s="105" t="str">
        <f>IFERROR(VLOOKUP($D158,NUMDIST[],2,FALSE),"DA Non trouvéé")</f>
        <v>OICHA - CLINIQUE ORDINATEURS</v>
      </c>
      <c r="F158" s="12" t="s">
        <v>262</v>
      </c>
      <c r="G158" s="14" t="s">
        <v>5</v>
      </c>
      <c r="H158" s="13">
        <v>611000</v>
      </c>
      <c r="I158" s="13">
        <v>0</v>
      </c>
      <c r="J158" s="12" t="s">
        <v>254</v>
      </c>
      <c r="K158" s="28"/>
    </row>
    <row r="159" spans="3:11" ht="15.5" thickTop="1" thickBot="1" x14ac:dyDescent="0.4">
      <c r="C159" s="51">
        <v>46204</v>
      </c>
      <c r="D159" s="12">
        <v>80558</v>
      </c>
      <c r="E159" s="105" t="str">
        <f>IFERROR(VLOOKUP($D159,NUMDIST[],2,FALSE),"DA Non trouvéé")</f>
        <v>KALEMIE - SATELLITE</v>
      </c>
      <c r="F159" s="12" t="s">
        <v>262</v>
      </c>
      <c r="G159" s="14" t="s">
        <v>7</v>
      </c>
      <c r="H159" s="13">
        <v>235000</v>
      </c>
      <c r="I159" s="13">
        <v>0</v>
      </c>
      <c r="J159" s="12" t="s">
        <v>254</v>
      </c>
      <c r="K159" s="28"/>
    </row>
    <row r="160" spans="3:11" ht="15.5" thickTop="1" thickBot="1" x14ac:dyDescent="0.4">
      <c r="C160" s="51">
        <v>46205</v>
      </c>
      <c r="D160" s="12">
        <v>36272</v>
      </c>
      <c r="E160" s="105" t="str">
        <f>IFERROR(VLOOKUP($D160,NUMDIST[],2,FALSE),"DA Non trouvéé")</f>
        <v>BUNIA - JPS DM</v>
      </c>
      <c r="F160" s="12" t="s">
        <v>273</v>
      </c>
      <c r="G160" s="14" t="s">
        <v>8</v>
      </c>
      <c r="H160" s="13">
        <v>0</v>
      </c>
      <c r="I160" s="13">
        <v>117500000</v>
      </c>
      <c r="J160" s="12" t="s">
        <v>254</v>
      </c>
      <c r="K160" s="28"/>
    </row>
    <row r="161" spans="3:11" ht="15.5" thickTop="1" thickBot="1" x14ac:dyDescent="0.4">
      <c r="C161" s="51" t="s">
        <v>275</v>
      </c>
      <c r="D161" s="12">
        <v>90192</v>
      </c>
      <c r="E161" s="105" t="str">
        <f>IFERROR(VLOOKUP($D161,NUMDIST[],2,FALSE),"DA Non trouvéé")</f>
        <v>BUKAVU - ETS LA GLOIRE</v>
      </c>
      <c r="F161" s="12" t="s">
        <v>262</v>
      </c>
      <c r="G161" s="14" t="s">
        <v>5</v>
      </c>
      <c r="H161" s="13">
        <v>253800</v>
      </c>
      <c r="I161" s="13"/>
      <c r="J161" s="12" t="s">
        <v>254</v>
      </c>
      <c r="K161" s="28"/>
    </row>
    <row r="162" spans="3:11" ht="15.5" thickTop="1" thickBot="1" x14ac:dyDescent="0.4">
      <c r="C162" s="51" t="s">
        <v>275</v>
      </c>
      <c r="D162" s="12">
        <v>91404</v>
      </c>
      <c r="E162" s="105" t="str">
        <f>IFERROR(VLOOKUP($D162,NUMDIST[],2,FALSE),"DA Non trouvéé")</f>
        <v>GOMA - SHOP GOMA</v>
      </c>
      <c r="F162" s="12" t="s">
        <v>262</v>
      </c>
      <c r="G162" s="14" t="s">
        <v>6</v>
      </c>
      <c r="H162" s="13">
        <v>235000</v>
      </c>
      <c r="I162" s="13">
        <v>0</v>
      </c>
      <c r="J162" s="12" t="s">
        <v>254</v>
      </c>
      <c r="K162" s="28"/>
    </row>
    <row r="163" spans="3:11" ht="15.5" thickTop="1" thickBot="1" x14ac:dyDescent="0.4">
      <c r="C163" s="51" t="s">
        <v>275</v>
      </c>
      <c r="D163" s="12">
        <v>85827</v>
      </c>
      <c r="E163" s="105" t="str">
        <f>IFERROR(VLOOKUP($D163,NUMDIST[],2,FALSE),"DA Non trouvéé")</f>
        <v>KISANGANI - SHOP LA GRACE</v>
      </c>
      <c r="F163" s="12" t="s">
        <v>262</v>
      </c>
      <c r="G163" s="14" t="s">
        <v>7</v>
      </c>
      <c r="H163" s="13">
        <v>547550</v>
      </c>
      <c r="I163" s="13">
        <v>0</v>
      </c>
      <c r="J163" s="12" t="s">
        <v>254</v>
      </c>
      <c r="K163" s="28"/>
    </row>
    <row r="164" spans="3:11" ht="15.5" thickTop="1" thickBot="1" x14ac:dyDescent="0.4">
      <c r="C164" s="51" t="s">
        <v>275</v>
      </c>
      <c r="D164" s="12">
        <v>55348</v>
      </c>
      <c r="E164" s="105" t="str">
        <f>IFERROR(VLOOKUP($D164,NUMDIST[],2,FALSE),"DA Non trouvéé")</f>
        <v>WAROMA - BUSINESS</v>
      </c>
      <c r="F164" s="12" t="s">
        <v>262</v>
      </c>
      <c r="G164" s="14" t="s">
        <v>19</v>
      </c>
      <c r="H164" s="13">
        <v>282000</v>
      </c>
      <c r="I164" s="13">
        <v>0</v>
      </c>
      <c r="J164" s="12" t="s">
        <v>254</v>
      </c>
      <c r="K164" s="28"/>
    </row>
    <row r="165" spans="3:11" ht="15.5" thickTop="1" thickBot="1" x14ac:dyDescent="0.4">
      <c r="C165" s="51" t="s">
        <v>275</v>
      </c>
      <c r="D165" s="12">
        <v>55349</v>
      </c>
      <c r="E165" s="105" t="str">
        <f>IFERROR(VLOOKUP($D165,NUMDIST[],2,FALSE),"DA Non trouvéé")</f>
        <v>ISIRO - LES AMIS</v>
      </c>
      <c r="F165" s="12" t="s">
        <v>262</v>
      </c>
      <c r="G165" s="14" t="s">
        <v>7</v>
      </c>
      <c r="H165" s="13">
        <v>587500</v>
      </c>
      <c r="I165" s="13">
        <v>0</v>
      </c>
      <c r="J165" s="12" t="s">
        <v>254</v>
      </c>
      <c r="K165" s="28"/>
    </row>
    <row r="166" spans="3:11" ht="15.5" thickTop="1" thickBot="1" x14ac:dyDescent="0.4">
      <c r="C166" s="51" t="s">
        <v>275</v>
      </c>
      <c r="D166" s="12">
        <v>42152</v>
      </c>
      <c r="E166" s="105" t="str">
        <f>IFERROR(VLOOKUP($D166,NUMDIST[],2,FALSE),"DA Non trouvéé")</f>
        <v>Bunia - Ets SKY</v>
      </c>
      <c r="F166" s="12" t="s">
        <v>262</v>
      </c>
      <c r="G166" s="14" t="s">
        <v>10</v>
      </c>
      <c r="H166" s="13">
        <v>1299000</v>
      </c>
      <c r="I166" s="13">
        <v>0</v>
      </c>
      <c r="J166" s="12" t="s">
        <v>254</v>
      </c>
      <c r="K166" s="28"/>
    </row>
    <row r="167" spans="3:11" ht="15.5" thickTop="1" thickBot="1" x14ac:dyDescent="0.4">
      <c r="C167" s="51" t="s">
        <v>275</v>
      </c>
      <c r="D167" s="12">
        <v>36430</v>
      </c>
      <c r="E167" s="105" t="str">
        <f>IFERROR(VLOOKUP($D167,NUMDIST[],2,FALSE),"DA Non trouvéé")</f>
        <v>Bunia - ETS BOTOAFINE</v>
      </c>
      <c r="F167" s="12" t="s">
        <v>262</v>
      </c>
      <c r="G167" s="14" t="s">
        <v>19</v>
      </c>
      <c r="H167" s="13">
        <v>164500</v>
      </c>
      <c r="I167" s="13">
        <v>0</v>
      </c>
      <c r="J167" s="12" t="s">
        <v>254</v>
      </c>
      <c r="K167" s="28"/>
    </row>
    <row r="168" spans="3:11" ht="15.5" thickTop="1" thickBot="1" x14ac:dyDescent="0.4">
      <c r="C168" s="51" t="s">
        <v>275</v>
      </c>
      <c r="D168" s="12">
        <v>36710</v>
      </c>
      <c r="E168" s="105" t="str">
        <f>IFERROR(VLOOKUP($D168,NUMDIST[],2,FALSE),"DA Non trouvéé")</f>
        <v>BUNIA - BOUTIQUE JPS DM</v>
      </c>
      <c r="F168" s="12" t="s">
        <v>262</v>
      </c>
      <c r="G168" s="14" t="s">
        <v>19</v>
      </c>
      <c r="H168" s="13">
        <v>4818500</v>
      </c>
      <c r="I168" s="13">
        <v>0</v>
      </c>
      <c r="J168" s="12" t="s">
        <v>254</v>
      </c>
      <c r="K168" s="28"/>
    </row>
    <row r="169" spans="3:11" ht="15.5" thickTop="1" thickBot="1" x14ac:dyDescent="0.4">
      <c r="C169" s="51" t="s">
        <v>275</v>
      </c>
      <c r="D169" s="12">
        <v>85837</v>
      </c>
      <c r="E169" s="105" t="str">
        <f>IFERROR(VLOOKUP($D169,NUMDIST[],2,FALSE),"DA Non trouvéé")</f>
        <v>BENI - SHOP ESPERANCE</v>
      </c>
      <c r="F169" s="12" t="s">
        <v>262</v>
      </c>
      <c r="G169" s="14" t="s">
        <v>6</v>
      </c>
      <c r="H169" s="13">
        <v>470000</v>
      </c>
      <c r="I169" s="13">
        <v>0</v>
      </c>
      <c r="J169" s="12" t="s">
        <v>254</v>
      </c>
      <c r="K169" s="28"/>
    </row>
    <row r="170" spans="3:11" ht="15.5" thickTop="1" thickBot="1" x14ac:dyDescent="0.4">
      <c r="C170" s="51" t="s">
        <v>275</v>
      </c>
      <c r="D170" s="12">
        <v>90185</v>
      </c>
      <c r="E170" s="105" t="str">
        <f>IFERROR(VLOOKUP($D170,NUMDIST[],2,FALSE),"DA Non trouvéé")</f>
        <v>DJUGU - CHEZ ROBERT</v>
      </c>
      <c r="F170" s="12" t="s">
        <v>262</v>
      </c>
      <c r="G170" s="14" t="s">
        <v>19</v>
      </c>
      <c r="H170" s="13">
        <v>117500</v>
      </c>
      <c r="I170" s="13">
        <v>0</v>
      </c>
      <c r="J170" s="12" t="s">
        <v>254</v>
      </c>
      <c r="K170" s="28"/>
    </row>
    <row r="171" spans="3:11" ht="15.5" thickTop="1" thickBot="1" x14ac:dyDescent="0.4">
      <c r="C171" s="51" t="s">
        <v>275</v>
      </c>
      <c r="D171" s="12">
        <v>36431</v>
      </c>
      <c r="E171" s="105" t="str">
        <f>IFERROR(VLOOKUP($D171,NUMDIST[],2,FALSE),"DA Non trouvéé")</f>
        <v>Isiro - MACAMPAGNE</v>
      </c>
      <c r="F171" s="12" t="s">
        <v>262</v>
      </c>
      <c r="G171" s="14" t="s">
        <v>8</v>
      </c>
      <c r="H171" s="13">
        <v>493500</v>
      </c>
      <c r="I171" s="13">
        <v>0</v>
      </c>
      <c r="J171" s="12" t="s">
        <v>254</v>
      </c>
      <c r="K171" s="28"/>
    </row>
    <row r="172" spans="3:11" ht="15.5" thickTop="1" thickBot="1" x14ac:dyDescent="0.4">
      <c r="C172" s="51" t="s">
        <v>275</v>
      </c>
      <c r="D172" s="12">
        <v>36112</v>
      </c>
      <c r="E172" s="105" t="str">
        <f>IFERROR(VLOOKUP($D172,NUMDIST[],2,FALSE),"DA Non trouvéé")</f>
        <v>SUD KIVU - ETS AGRIPPINE</v>
      </c>
      <c r="F172" s="12" t="s">
        <v>262</v>
      </c>
      <c r="G172" s="14" t="s">
        <v>5</v>
      </c>
      <c r="H172" s="13">
        <v>300000</v>
      </c>
      <c r="I172" s="13">
        <v>0</v>
      </c>
      <c r="J172" s="12" t="s">
        <v>254</v>
      </c>
      <c r="K172" s="28"/>
    </row>
    <row r="173" spans="3:11" ht="15.5" thickTop="1" thickBot="1" x14ac:dyDescent="0.4">
      <c r="C173" s="51" t="s">
        <v>275</v>
      </c>
      <c r="D173" s="12">
        <v>99337</v>
      </c>
      <c r="E173" s="105" t="str">
        <f>IFERROR(VLOOKUP($D173,NUMDIST[],2,FALSE),"DA Non trouvéé")</f>
        <v>ISIRO - SHOP CHARA HOUSE</v>
      </c>
      <c r="F173" s="12" t="s">
        <v>262</v>
      </c>
      <c r="G173" s="14" t="s">
        <v>7</v>
      </c>
      <c r="H173" s="13">
        <v>2106700</v>
      </c>
      <c r="I173" s="13">
        <v>0</v>
      </c>
      <c r="J173" s="12" t="s">
        <v>254</v>
      </c>
      <c r="K173" s="28"/>
    </row>
    <row r="174" spans="3:11" ht="15.5" thickTop="1" thickBot="1" x14ac:dyDescent="0.4">
      <c r="C174" s="51" t="s">
        <v>275</v>
      </c>
      <c r="D174" s="12">
        <v>104929</v>
      </c>
      <c r="E174" s="105" t="str">
        <f>IFERROR(VLOOKUP($D174,NUMDIST[],2,FALSE),"DA Non trouvéé")</f>
        <v>KISANGANI - THEODOR BUSINESS</v>
      </c>
      <c r="F174" s="12" t="s">
        <v>262</v>
      </c>
      <c r="G174" s="14" t="s">
        <v>4</v>
      </c>
      <c r="H174" s="13">
        <v>94000</v>
      </c>
      <c r="I174" s="13">
        <v>0</v>
      </c>
      <c r="J174" s="12" t="s">
        <v>254</v>
      </c>
      <c r="K174" s="28"/>
    </row>
    <row r="175" spans="3:11" ht="15.5" thickTop="1" thickBot="1" x14ac:dyDescent="0.4">
      <c r="C175" s="51" t="s">
        <v>275</v>
      </c>
      <c r="D175" s="12">
        <v>104189</v>
      </c>
      <c r="E175" s="105" t="str">
        <f>IFERROR(VLOOKUP($D175,NUMDIST[],2,FALSE),"DA Non trouvéé")</f>
        <v>KIVU - PILIPILI GROUP</v>
      </c>
      <c r="F175" s="12" t="s">
        <v>262</v>
      </c>
      <c r="G175" s="14" t="s">
        <v>5</v>
      </c>
      <c r="H175" s="13">
        <v>517000</v>
      </c>
      <c r="I175" s="13">
        <v>0</v>
      </c>
      <c r="J175" s="12" t="s">
        <v>254</v>
      </c>
      <c r="K175" s="28"/>
    </row>
    <row r="176" spans="3:11" ht="15.5" thickTop="1" thickBot="1" x14ac:dyDescent="0.4">
      <c r="C176" s="51" t="s">
        <v>275</v>
      </c>
      <c r="D176" s="12">
        <v>36711</v>
      </c>
      <c r="E176" s="105" t="str">
        <f>IFERROR(VLOOKUP($D176,NUMDIST[],2,FALSE),"DA Non trouvéé")</f>
        <v>MONGBWALU - ETS FSN</v>
      </c>
      <c r="F176" s="12" t="s">
        <v>262</v>
      </c>
      <c r="G176" s="14" t="s">
        <v>6</v>
      </c>
      <c r="H176" s="13">
        <v>9000500</v>
      </c>
      <c r="I176" s="13">
        <v>0</v>
      </c>
      <c r="J176" s="12" t="s">
        <v>15</v>
      </c>
      <c r="K176" s="28"/>
    </row>
    <row r="177" spans="3:11" ht="15.5" thickTop="1" thickBot="1" x14ac:dyDescent="0.4">
      <c r="C177" s="51" t="s">
        <v>275</v>
      </c>
      <c r="D177" s="12">
        <v>34597</v>
      </c>
      <c r="E177" s="105" t="str">
        <f>IFERROR(VLOOKUP($D177,NUMDIST[],2,FALSE),"DA Non trouvéé")</f>
        <v>ETABLISSEMENT-  JPS DM BIGO</v>
      </c>
      <c r="F177" s="12" t="s">
        <v>262</v>
      </c>
      <c r="G177" s="14" t="s">
        <v>7</v>
      </c>
      <c r="H177" s="13">
        <v>1931700</v>
      </c>
      <c r="I177" s="13">
        <v>0</v>
      </c>
      <c r="J177" s="12" t="s">
        <v>254</v>
      </c>
      <c r="K177" s="28"/>
    </row>
    <row r="178" spans="3:11" ht="15.5" thickTop="1" thickBot="1" x14ac:dyDescent="0.4">
      <c r="C178" s="51" t="s">
        <v>275</v>
      </c>
      <c r="D178" s="12">
        <v>95820</v>
      </c>
      <c r="E178" s="105" t="str">
        <f>IFERROR(VLOOKUP($D178,NUMDIST[],2,FALSE),"DA Non trouvéé")</f>
        <v>MONGWALU - MAISON INTEMPORELLE</v>
      </c>
      <c r="F178" s="12" t="s">
        <v>262</v>
      </c>
      <c r="G178" s="14" t="s">
        <v>4</v>
      </c>
      <c r="H178" s="13">
        <v>450000</v>
      </c>
      <c r="I178" s="13">
        <v>0</v>
      </c>
      <c r="J178" s="12" t="s">
        <v>254</v>
      </c>
      <c r="K178" s="28"/>
    </row>
    <row r="179" spans="3:11" ht="15.5" thickTop="1" thickBot="1" x14ac:dyDescent="0.4">
      <c r="C179" s="51" t="s">
        <v>277</v>
      </c>
      <c r="D179" s="12">
        <v>36112</v>
      </c>
      <c r="E179" s="105" t="str">
        <f>IFERROR(VLOOKUP($D179,NUMDIST[],2,FALSE),"DA Non trouvéé")</f>
        <v>SUD KIVU - ETS AGRIPPINE</v>
      </c>
      <c r="F179" s="12" t="s">
        <v>262</v>
      </c>
      <c r="G179" s="14" t="s">
        <v>5</v>
      </c>
      <c r="H179" s="13">
        <v>200000</v>
      </c>
      <c r="I179" s="13">
        <v>0</v>
      </c>
      <c r="J179" s="12" t="s">
        <v>254</v>
      </c>
      <c r="K179" s="28" t="s">
        <v>263</v>
      </c>
    </row>
    <row r="180" spans="3:11" ht="15.5" thickTop="1" thickBot="1" x14ac:dyDescent="0.4">
      <c r="C180" s="51" t="s">
        <v>277</v>
      </c>
      <c r="D180" s="12">
        <v>87500</v>
      </c>
      <c r="E180" s="105" t="str">
        <f>IFERROR(VLOOKUP($D180,NUMDIST[],2,FALSE),"DA Non trouvéé")</f>
        <v>BUNIA - ETS DIEU MERCI</v>
      </c>
      <c r="F180" s="12" t="s">
        <v>262</v>
      </c>
      <c r="G180" s="14" t="s">
        <v>19</v>
      </c>
      <c r="H180" s="13">
        <v>117500</v>
      </c>
      <c r="I180" s="13">
        <v>0</v>
      </c>
      <c r="J180" s="12" t="s">
        <v>254</v>
      </c>
      <c r="K180" s="28" t="s">
        <v>263</v>
      </c>
    </row>
    <row r="181" spans="3:11" ht="15.5" thickTop="1" thickBot="1" x14ac:dyDescent="0.4">
      <c r="C181" s="51" t="s">
        <v>277</v>
      </c>
      <c r="D181" s="12">
        <v>36430</v>
      </c>
      <c r="E181" s="105" t="str">
        <f>IFERROR(VLOOKUP($D181,NUMDIST[],2,FALSE),"DA Non trouvéé")</f>
        <v>Bunia - ETS BOTOAFINE</v>
      </c>
      <c r="F181" s="12" t="s">
        <v>262</v>
      </c>
      <c r="G181" s="14" t="s">
        <v>19</v>
      </c>
      <c r="H181" s="13">
        <v>164500</v>
      </c>
      <c r="I181" s="13">
        <v>0</v>
      </c>
      <c r="J181" s="12" t="s">
        <v>254</v>
      </c>
      <c r="K181" s="28" t="s">
        <v>263</v>
      </c>
    </row>
    <row r="182" spans="3:11" ht="15.5" thickTop="1" thickBot="1" x14ac:dyDescent="0.4">
      <c r="C182" s="51" t="s">
        <v>277</v>
      </c>
      <c r="D182" s="12">
        <v>85827</v>
      </c>
      <c r="E182" s="105" t="str">
        <f>IFERROR(VLOOKUP($D182,NUMDIST[],2,FALSE),"DA Non trouvéé")</f>
        <v>KISANGANI - SHOP LA GRACE</v>
      </c>
      <c r="F182" s="12" t="s">
        <v>262</v>
      </c>
      <c r="G182" s="14" t="s">
        <v>7</v>
      </c>
      <c r="H182" s="13">
        <v>378350</v>
      </c>
      <c r="I182" s="13">
        <v>0</v>
      </c>
      <c r="J182" s="12" t="s">
        <v>254</v>
      </c>
      <c r="K182" s="28" t="s">
        <v>263</v>
      </c>
    </row>
    <row r="183" spans="3:11" ht="15.5" thickTop="1" thickBot="1" x14ac:dyDescent="0.4">
      <c r="C183" s="51" t="s">
        <v>277</v>
      </c>
      <c r="D183" s="12">
        <v>91404</v>
      </c>
      <c r="E183" s="105" t="str">
        <f>IFERROR(VLOOKUP($D183,NUMDIST[],2,FALSE),"DA Non trouvéé")</f>
        <v>GOMA - SHOP GOMA</v>
      </c>
      <c r="F183" s="12" t="s">
        <v>262</v>
      </c>
      <c r="G183" s="14" t="s">
        <v>5</v>
      </c>
      <c r="H183" s="13">
        <v>122200</v>
      </c>
      <c r="I183" s="13">
        <v>0</v>
      </c>
      <c r="J183" s="12" t="s">
        <v>254</v>
      </c>
      <c r="K183" s="28" t="s">
        <v>263</v>
      </c>
    </row>
    <row r="184" spans="3:11" ht="15.5" thickTop="1" thickBot="1" x14ac:dyDescent="0.4">
      <c r="C184" s="51">
        <v>46206</v>
      </c>
      <c r="D184" s="12">
        <v>80263</v>
      </c>
      <c r="E184" s="105" t="str">
        <f>IFERROR(VLOOKUP($D184,NUMDIST[],2,FALSE),"DA Non trouvéé")</f>
        <v>BENI - SHOP YIELD 1</v>
      </c>
      <c r="F184" s="12" t="s">
        <v>262</v>
      </c>
      <c r="G184" s="14" t="s">
        <v>6</v>
      </c>
      <c r="H184" s="13">
        <v>235000</v>
      </c>
      <c r="I184" s="13">
        <v>0</v>
      </c>
      <c r="J184" s="12" t="s">
        <v>15</v>
      </c>
      <c r="K184" s="28" t="s">
        <v>263</v>
      </c>
    </row>
    <row r="185" spans="3:11" ht="15.5" thickTop="1" thickBot="1" x14ac:dyDescent="0.4">
      <c r="C185" s="51" t="s">
        <v>277</v>
      </c>
      <c r="D185" s="12">
        <v>92117</v>
      </c>
      <c r="E185" s="105" t="str">
        <f>IFERROR(VLOOKUP($D185,NUMDIST[],2,FALSE),"DA Non trouvéé")</f>
        <v>KISANGANI - STAFF FLORY</v>
      </c>
      <c r="F185" s="12" t="s">
        <v>262</v>
      </c>
      <c r="G185" s="14" t="s">
        <v>7</v>
      </c>
      <c r="H185" s="13">
        <v>1175000</v>
      </c>
      <c r="I185" s="13">
        <v>0</v>
      </c>
      <c r="J185" s="12" t="s">
        <v>254</v>
      </c>
      <c r="K185" s="28" t="s">
        <v>263</v>
      </c>
    </row>
    <row r="186" spans="3:11" ht="15.5" thickTop="1" thickBot="1" x14ac:dyDescent="0.4">
      <c r="C186" s="51" t="s">
        <v>277</v>
      </c>
      <c r="D186" s="12">
        <v>91377</v>
      </c>
      <c r="E186" s="105" t="str">
        <f>IFERROR(VLOOKUP($D186,NUMDIST[],2,FALSE),"DA Non trouvéé")</f>
        <v>BUTEMBO - BMSHOP</v>
      </c>
      <c r="F186" s="12" t="s">
        <v>262</v>
      </c>
      <c r="G186" s="14" t="s">
        <v>5</v>
      </c>
      <c r="H186" s="13">
        <v>705000</v>
      </c>
      <c r="I186" s="13">
        <v>0</v>
      </c>
      <c r="J186" s="12" t="s">
        <v>254</v>
      </c>
      <c r="K186" s="28" t="s">
        <v>263</v>
      </c>
    </row>
    <row r="187" spans="3:11" ht="15.5" thickTop="1" thickBot="1" x14ac:dyDescent="0.4">
      <c r="C187" s="51" t="s">
        <v>277</v>
      </c>
      <c r="D187" s="12">
        <v>95823</v>
      </c>
      <c r="E187" s="105" t="str">
        <f>IFERROR(VLOOKUP($D187,NUMDIST[],2,FALSE),"DA Non trouvéé")</f>
        <v>BUNIA - ETS CANAL BIA</v>
      </c>
      <c r="F187" s="12" t="s">
        <v>262</v>
      </c>
      <c r="G187" s="14" t="s">
        <v>19</v>
      </c>
      <c r="H187" s="13">
        <v>235000</v>
      </c>
      <c r="I187" s="13">
        <v>0</v>
      </c>
      <c r="J187" s="12" t="s">
        <v>254</v>
      </c>
      <c r="K187" s="28" t="s">
        <v>263</v>
      </c>
    </row>
    <row r="188" spans="3:11" ht="15.5" thickTop="1" thickBot="1" x14ac:dyDescent="0.4">
      <c r="C188" s="51" t="s">
        <v>277</v>
      </c>
      <c r="D188" s="12">
        <v>90184</v>
      </c>
      <c r="E188" s="105" t="str">
        <f>IFERROR(VLOOKUP($D188,NUMDIST[],2,FALSE),"DA Non trouvéé")</f>
        <v>BUNIA - ETS MOISE MESO</v>
      </c>
      <c r="F188" s="12" t="s">
        <v>262</v>
      </c>
      <c r="G188" s="14" t="s">
        <v>19</v>
      </c>
      <c r="H188" s="13">
        <v>470000</v>
      </c>
      <c r="I188" s="13">
        <v>0</v>
      </c>
      <c r="J188" s="12" t="s">
        <v>254</v>
      </c>
      <c r="K188" s="28" t="s">
        <v>263</v>
      </c>
    </row>
    <row r="189" spans="3:11" ht="15.5" thickTop="1" thickBot="1" x14ac:dyDescent="0.4">
      <c r="C189" s="51" t="s">
        <v>277</v>
      </c>
      <c r="D189" s="12">
        <v>99337</v>
      </c>
      <c r="E189" s="105" t="str">
        <f>IFERROR(VLOOKUP($D189,NUMDIST[],2,FALSE),"DA Non trouvéé")</f>
        <v>ISIRO - SHOP CHARA HOUSE</v>
      </c>
      <c r="F189" s="12" t="s">
        <v>262</v>
      </c>
      <c r="G189" s="14" t="s">
        <v>7</v>
      </c>
      <c r="H189" s="13">
        <v>643900</v>
      </c>
      <c r="I189" s="13">
        <v>0</v>
      </c>
      <c r="J189" s="12" t="s">
        <v>254</v>
      </c>
      <c r="K189" s="28" t="s">
        <v>263</v>
      </c>
    </row>
    <row r="190" spans="3:11" ht="15.5" thickTop="1" thickBot="1" x14ac:dyDescent="0.4">
      <c r="C190" s="51" t="s">
        <v>277</v>
      </c>
      <c r="D190" s="12">
        <v>87503</v>
      </c>
      <c r="E190" s="105" t="str">
        <f>IFERROR(VLOOKUP($D190,NUMDIST[],2,FALSE),"DA Non trouvéé")</f>
        <v>BUKAVU - ETS DIEU EST GRAND</v>
      </c>
      <c r="F190" s="12" t="s">
        <v>262</v>
      </c>
      <c r="G190" s="14" t="s">
        <v>5</v>
      </c>
      <c r="H190" s="13">
        <v>567500</v>
      </c>
      <c r="I190" s="13">
        <v>0</v>
      </c>
      <c r="J190" s="12" t="s">
        <v>254</v>
      </c>
      <c r="K190" s="28" t="s">
        <v>263</v>
      </c>
    </row>
    <row r="191" spans="3:11" ht="15.5" thickTop="1" thickBot="1" x14ac:dyDescent="0.4">
      <c r="C191" s="51" t="s">
        <v>277</v>
      </c>
      <c r="D191" s="12">
        <v>90152</v>
      </c>
      <c r="E191" s="105" t="str">
        <f>IFERROR(VLOOKUP($D191,NUMDIST[],2,FALSE),"DA Non trouvéé")</f>
        <v>BUTEMBO - ETS OIEL DU CIEL</v>
      </c>
      <c r="F191" s="12" t="s">
        <v>262</v>
      </c>
      <c r="G191" s="14" t="s">
        <v>5</v>
      </c>
      <c r="H191" s="13">
        <v>705000</v>
      </c>
      <c r="I191" s="13">
        <v>0</v>
      </c>
      <c r="J191" s="12" t="s">
        <v>254</v>
      </c>
      <c r="K191" s="28" t="s">
        <v>263</v>
      </c>
    </row>
    <row r="192" spans="3:11" ht="15.5" thickTop="1" thickBot="1" x14ac:dyDescent="0.4">
      <c r="C192" s="51" t="s">
        <v>277</v>
      </c>
      <c r="D192" s="12">
        <v>42153</v>
      </c>
      <c r="E192" s="105" t="str">
        <f>IFERROR(VLOOKUP($D192,NUMDIST[],2,FALSE),"DA Non trouvéé")</f>
        <v>BUNIA - ETS SALEM</v>
      </c>
      <c r="F192" s="12" t="s">
        <v>262</v>
      </c>
      <c r="G192" s="14" t="s">
        <v>4</v>
      </c>
      <c r="H192" s="13">
        <v>470000</v>
      </c>
      <c r="I192" s="13">
        <v>0</v>
      </c>
      <c r="J192" s="12" t="s">
        <v>254</v>
      </c>
      <c r="K192" s="28" t="s">
        <v>263</v>
      </c>
    </row>
    <row r="193" spans="3:11" ht="15.5" thickTop="1" thickBot="1" x14ac:dyDescent="0.4">
      <c r="C193" s="51" t="s">
        <v>277</v>
      </c>
      <c r="D193" s="12">
        <v>92122</v>
      </c>
      <c r="E193" s="105" t="str">
        <f>IFERROR(VLOOKUP($D193,NUMDIST[],2,FALSE),"DA Non trouvéé")</f>
        <v>KISANGANI - MONT GOLOGOTA</v>
      </c>
      <c r="F193" s="12" t="s">
        <v>262</v>
      </c>
      <c r="G193" s="14" t="s">
        <v>5</v>
      </c>
      <c r="H193" s="13">
        <v>352500</v>
      </c>
      <c r="I193" s="13">
        <v>0</v>
      </c>
      <c r="J193" s="12" t="s">
        <v>254</v>
      </c>
      <c r="K193" s="28" t="s">
        <v>263</v>
      </c>
    </row>
    <row r="194" spans="3:11" ht="15.5" thickTop="1" thickBot="1" x14ac:dyDescent="0.4">
      <c r="C194" s="51" t="s">
        <v>277</v>
      </c>
      <c r="D194" s="12">
        <v>90180</v>
      </c>
      <c r="E194" s="105" t="str">
        <f>IFERROR(VLOOKUP($D194,NUMDIST[],2,FALSE),"DA Non trouvéé")</f>
        <v>BUNIA - ETS DON BENIT</v>
      </c>
      <c r="F194" s="12" t="s">
        <v>262</v>
      </c>
      <c r="G194" s="14" t="s">
        <v>19</v>
      </c>
      <c r="H194" s="13">
        <v>352500</v>
      </c>
      <c r="I194" s="13">
        <v>0</v>
      </c>
      <c r="J194" s="12" t="s">
        <v>254</v>
      </c>
      <c r="K194" s="28" t="s">
        <v>263</v>
      </c>
    </row>
    <row r="195" spans="3:11" ht="15.5" thickTop="1" thickBot="1" x14ac:dyDescent="0.4">
      <c r="C195" s="51" t="s">
        <v>277</v>
      </c>
      <c r="D195" s="12">
        <v>90174</v>
      </c>
      <c r="E195" s="105" t="str">
        <f>IFERROR(VLOOKUP($D195,NUMDIST[],2,FALSE),"DA Non trouvéé")</f>
        <v>MAHAGI - ETS JACQUES PLUS</v>
      </c>
      <c r="F195" s="12" t="s">
        <v>262</v>
      </c>
      <c r="G195" s="14" t="s">
        <v>4</v>
      </c>
      <c r="H195" s="13">
        <v>235000</v>
      </c>
      <c r="I195" s="13">
        <v>0</v>
      </c>
      <c r="J195" s="12" t="s">
        <v>254</v>
      </c>
      <c r="K195" s="28" t="s">
        <v>263</v>
      </c>
    </row>
    <row r="196" spans="3:11" ht="15.5" thickTop="1" thickBot="1" x14ac:dyDescent="0.4">
      <c r="C196" s="51" t="s">
        <v>277</v>
      </c>
      <c r="D196" s="12">
        <v>102554</v>
      </c>
      <c r="E196" s="105" t="str">
        <f>IFERROR(VLOOKUP($D196,NUMDIST[],2,FALSE),"DA Non trouvéé")</f>
        <v>KANYASI - ZITONO SHOP</v>
      </c>
      <c r="F196" s="12" t="s">
        <v>262</v>
      </c>
      <c r="G196" s="14" t="s">
        <v>19</v>
      </c>
      <c r="H196" s="13">
        <v>235000</v>
      </c>
      <c r="I196" s="13">
        <v>0</v>
      </c>
      <c r="J196" s="12" t="s">
        <v>254</v>
      </c>
      <c r="K196" s="28" t="s">
        <v>263</v>
      </c>
    </row>
    <row r="197" spans="3:11" ht="15.5" thickTop="1" thickBot="1" x14ac:dyDescent="0.4">
      <c r="C197" s="51" t="s">
        <v>277</v>
      </c>
      <c r="D197" s="12">
        <v>36710</v>
      </c>
      <c r="E197" s="105" t="str">
        <f>IFERROR(VLOOKUP($D197,NUMDIST[],2,FALSE),"DA Non trouvéé")</f>
        <v>BUNIA - BOUTIQUE JPS DM</v>
      </c>
      <c r="F197" s="12" t="s">
        <v>262</v>
      </c>
      <c r="G197" s="14" t="s">
        <v>19</v>
      </c>
      <c r="H197" s="13">
        <v>1954600</v>
      </c>
      <c r="I197" s="13">
        <v>0</v>
      </c>
      <c r="J197" s="12" t="s">
        <v>254</v>
      </c>
      <c r="K197" s="28" t="s">
        <v>263</v>
      </c>
    </row>
    <row r="198" spans="3:11" ht="15.5" thickTop="1" thickBot="1" x14ac:dyDescent="0.4">
      <c r="C198" s="51" t="s">
        <v>277</v>
      </c>
      <c r="D198" s="12">
        <v>91770</v>
      </c>
      <c r="E198" s="105" t="str">
        <f>IFERROR(VLOOKUP($D198,NUMDIST[],2,FALSE),"DA Non trouvéé")</f>
        <v>BUKAVU - MAISON JULIEN BS</v>
      </c>
      <c r="F198" s="12" t="s">
        <v>262</v>
      </c>
      <c r="G198" s="14" t="s">
        <v>7</v>
      </c>
      <c r="H198" s="13">
        <v>470000</v>
      </c>
      <c r="I198" s="13">
        <v>0</v>
      </c>
      <c r="J198" s="12" t="s">
        <v>254</v>
      </c>
      <c r="K198" s="28" t="s">
        <v>263</v>
      </c>
    </row>
    <row r="199" spans="3:11" ht="15.5" thickTop="1" thickBot="1" x14ac:dyDescent="0.4">
      <c r="C199" s="51" t="s">
        <v>277</v>
      </c>
      <c r="D199" s="12">
        <v>34597</v>
      </c>
      <c r="E199" s="105" t="str">
        <f>IFERROR(VLOOKUP($D199,NUMDIST[],2,FALSE),"DA Non trouvéé")</f>
        <v>ETABLISSEMENT-  JPS DM BIGO</v>
      </c>
      <c r="F199" s="12" t="s">
        <v>262</v>
      </c>
      <c r="G199" s="14" t="s">
        <v>7</v>
      </c>
      <c r="H199" s="13">
        <v>564000</v>
      </c>
      <c r="I199" s="13">
        <v>0</v>
      </c>
      <c r="J199" s="12" t="s">
        <v>254</v>
      </c>
      <c r="K199" s="28" t="s">
        <v>263</v>
      </c>
    </row>
    <row r="200" spans="3:11" ht="15.5" thickTop="1" thickBot="1" x14ac:dyDescent="0.4">
      <c r="C200" s="51" t="s">
        <v>278</v>
      </c>
      <c r="D200" s="12">
        <v>84208</v>
      </c>
      <c r="E200" s="105" t="str">
        <f>IFERROR(VLOOKUP($D200,NUMDIST[],2,FALSE),"DA Non trouvéé")</f>
        <v>BUNIA - CANAL PLUS VK</v>
      </c>
      <c r="F200" s="12" t="s">
        <v>262</v>
      </c>
      <c r="G200" s="14" t="s">
        <v>6</v>
      </c>
      <c r="H200" s="13">
        <v>235000</v>
      </c>
      <c r="I200" s="13">
        <v>0</v>
      </c>
      <c r="J200" s="12" t="s">
        <v>15</v>
      </c>
      <c r="K200" s="28" t="s">
        <v>263</v>
      </c>
    </row>
    <row r="201" spans="3:11" ht="15.5" thickTop="1" thickBot="1" x14ac:dyDescent="0.4">
      <c r="C201" s="51" t="s">
        <v>278</v>
      </c>
      <c r="D201" s="12">
        <v>95823</v>
      </c>
      <c r="E201" s="105" t="str">
        <f>IFERROR(VLOOKUP($D201,NUMDIST[],2,FALSE),"DA Non trouvéé")</f>
        <v>BUNIA - ETS CANAL BIA</v>
      </c>
      <c r="F201" s="12" t="s">
        <v>262</v>
      </c>
      <c r="G201" s="14" t="s">
        <v>6</v>
      </c>
      <c r="H201" s="13">
        <v>352500</v>
      </c>
      <c r="I201" s="13">
        <v>0</v>
      </c>
      <c r="J201" s="12" t="s">
        <v>15</v>
      </c>
      <c r="K201" s="28" t="s">
        <v>263</v>
      </c>
    </row>
    <row r="202" spans="3:11" ht="15.5" thickTop="1" thickBot="1" x14ac:dyDescent="0.4">
      <c r="C202" s="51" t="s">
        <v>278</v>
      </c>
      <c r="D202" s="12">
        <v>95818</v>
      </c>
      <c r="E202" s="105" t="str">
        <f>IFERROR(VLOOKUP($D202,NUMDIST[],2,FALSE),"DA Non trouvéé")</f>
        <v>BUNIA - SHOP BLESSING</v>
      </c>
      <c r="F202" s="12" t="s">
        <v>262</v>
      </c>
      <c r="G202" s="14" t="s">
        <v>6</v>
      </c>
      <c r="H202" s="13">
        <v>235000</v>
      </c>
      <c r="I202" s="13">
        <v>0</v>
      </c>
      <c r="J202" s="12" t="s">
        <v>15</v>
      </c>
      <c r="K202" s="28" t="s">
        <v>263</v>
      </c>
    </row>
    <row r="203" spans="3:11" ht="15.5" thickTop="1" thickBot="1" x14ac:dyDescent="0.4">
      <c r="C203" s="51" t="s">
        <v>278</v>
      </c>
      <c r="D203" s="12">
        <v>36710</v>
      </c>
      <c r="E203" s="105" t="str">
        <f>IFERROR(VLOOKUP($D203,NUMDIST[],2,FALSE),"DA Non trouvéé")</f>
        <v>BUNIA - BOUTIQUE JPS DM</v>
      </c>
      <c r="F203" s="12" t="s">
        <v>262</v>
      </c>
      <c r="G203" s="14" t="s">
        <v>6</v>
      </c>
      <c r="H203" s="13">
        <v>2278100</v>
      </c>
      <c r="I203" s="13">
        <v>0</v>
      </c>
      <c r="J203" s="12" t="s">
        <v>15</v>
      </c>
      <c r="K203" s="28" t="s">
        <v>263</v>
      </c>
    </row>
    <row r="204" spans="3:11" ht="15.5" thickTop="1" thickBot="1" x14ac:dyDescent="0.4">
      <c r="C204" s="51" t="s">
        <v>278</v>
      </c>
      <c r="D204" s="12">
        <v>91404</v>
      </c>
      <c r="E204" s="105" t="str">
        <f>IFERROR(VLOOKUP($D204,NUMDIST[],2,FALSE),"DA Non trouvéé")</f>
        <v>GOMA - SHOP GOMA</v>
      </c>
      <c r="F204" s="12" t="s">
        <v>262</v>
      </c>
      <c r="G204" s="14" t="s">
        <v>5</v>
      </c>
      <c r="H204" s="13">
        <v>470000</v>
      </c>
      <c r="I204" s="13">
        <v>0</v>
      </c>
      <c r="J204" s="12" t="s">
        <v>254</v>
      </c>
      <c r="K204" s="28" t="s">
        <v>263</v>
      </c>
    </row>
    <row r="205" spans="3:11" ht="15.5" thickTop="1" thickBot="1" x14ac:dyDescent="0.4">
      <c r="C205" s="51" t="s">
        <v>278</v>
      </c>
      <c r="D205" s="12">
        <v>42153</v>
      </c>
      <c r="E205" s="105" t="str">
        <f>IFERROR(VLOOKUP($D205,NUMDIST[],2,FALSE),"DA Non trouvéé")</f>
        <v>BUNIA - ETS SALEM</v>
      </c>
      <c r="F205" s="12" t="s">
        <v>262</v>
      </c>
      <c r="G205" s="14" t="s">
        <v>5</v>
      </c>
      <c r="H205" s="13">
        <v>246750</v>
      </c>
      <c r="I205" s="13">
        <v>0</v>
      </c>
      <c r="J205" s="12" t="s">
        <v>254</v>
      </c>
      <c r="K205" s="28" t="s">
        <v>263</v>
      </c>
    </row>
    <row r="206" spans="3:11" ht="15.5" thickTop="1" thickBot="1" x14ac:dyDescent="0.4">
      <c r="C206" s="51" t="s">
        <v>278</v>
      </c>
      <c r="D206" s="12">
        <v>95823</v>
      </c>
      <c r="E206" s="105" t="str">
        <f>IFERROR(VLOOKUP($D206,NUMDIST[],2,FALSE),"DA Non trouvéé")</f>
        <v>BUNIA - ETS CANAL BIA</v>
      </c>
      <c r="F206" s="12" t="s">
        <v>262</v>
      </c>
      <c r="G206" s="14" t="s">
        <v>19</v>
      </c>
      <c r="H206" s="13">
        <v>352500</v>
      </c>
      <c r="I206" s="13">
        <v>0</v>
      </c>
      <c r="J206" s="12" t="s">
        <v>254</v>
      </c>
      <c r="K206" s="28" t="s">
        <v>263</v>
      </c>
    </row>
    <row r="207" spans="3:11" ht="15.5" thickTop="1" thickBot="1" x14ac:dyDescent="0.4">
      <c r="C207" s="51" t="s">
        <v>278</v>
      </c>
      <c r="D207" s="12">
        <v>91380</v>
      </c>
      <c r="E207" s="105" t="str">
        <f>IFERROR(VLOOKUP($D207,NUMDIST[],2,FALSE),"DA Non trouvéé")</f>
        <v>GOMA - MUNZOMBO MATEMBELA</v>
      </c>
      <c r="F207" s="12" t="s">
        <v>262</v>
      </c>
      <c r="G207" s="14" t="s">
        <v>5</v>
      </c>
      <c r="H207" s="13">
        <v>587500</v>
      </c>
      <c r="I207" s="13">
        <v>0</v>
      </c>
      <c r="J207" s="12" t="s">
        <v>254</v>
      </c>
      <c r="K207" s="28" t="s">
        <v>263</v>
      </c>
    </row>
    <row r="208" spans="3:11" ht="15.5" thickTop="1" thickBot="1" x14ac:dyDescent="0.4">
      <c r="C208" s="51" t="s">
        <v>278</v>
      </c>
      <c r="D208" s="12">
        <v>85827</v>
      </c>
      <c r="E208" s="105" t="str">
        <f>IFERROR(VLOOKUP($D208,NUMDIST[],2,FALSE),"DA Non trouvéé")</f>
        <v>KISANGANI - SHOP LA GRACE</v>
      </c>
      <c r="F208" s="12" t="s">
        <v>262</v>
      </c>
      <c r="G208" s="14" t="s">
        <v>7</v>
      </c>
      <c r="H208" s="13">
        <v>587500</v>
      </c>
      <c r="I208" s="13">
        <v>0</v>
      </c>
      <c r="J208" s="12" t="s">
        <v>254</v>
      </c>
      <c r="K208" s="28" t="s">
        <v>263</v>
      </c>
    </row>
    <row r="209" spans="3:11" ht="15.5" thickTop="1" thickBot="1" x14ac:dyDescent="0.4">
      <c r="C209" s="51" t="s">
        <v>278</v>
      </c>
      <c r="D209" s="12">
        <v>91770</v>
      </c>
      <c r="E209" s="105" t="str">
        <f>IFERROR(VLOOKUP($D209,NUMDIST[],2,FALSE),"DA Non trouvéé")</f>
        <v>BUKAVU - MAISON JULIEN BS</v>
      </c>
      <c r="F209" s="12" t="s">
        <v>262</v>
      </c>
      <c r="G209" s="14" t="s">
        <v>5</v>
      </c>
      <c r="H209" s="13">
        <v>213850</v>
      </c>
      <c r="I209" s="13">
        <v>0</v>
      </c>
      <c r="J209" s="12" t="s">
        <v>254</v>
      </c>
      <c r="K209" s="28" t="s">
        <v>263</v>
      </c>
    </row>
    <row r="210" spans="3:11" ht="15.5" thickTop="1" thickBot="1" x14ac:dyDescent="0.4">
      <c r="C210" s="51" t="s">
        <v>278</v>
      </c>
      <c r="D210" s="12">
        <v>95817</v>
      </c>
      <c r="E210" s="105" t="str">
        <f>IFERROR(VLOOKUP($D210,NUMDIST[],2,FALSE),"DA Non trouvéé")</f>
        <v>BUNIA - YESU NI JIBU</v>
      </c>
      <c r="F210" s="12" t="s">
        <v>262</v>
      </c>
      <c r="G210" s="14" t="s">
        <v>6</v>
      </c>
      <c r="H210" s="13">
        <v>235000</v>
      </c>
      <c r="I210" s="13">
        <v>0</v>
      </c>
      <c r="J210" s="12" t="s">
        <v>15</v>
      </c>
      <c r="K210" s="28" t="s">
        <v>263</v>
      </c>
    </row>
    <row r="211" spans="3:11" ht="15.5" thickTop="1" thickBot="1" x14ac:dyDescent="0.4">
      <c r="C211" s="51" t="s">
        <v>278</v>
      </c>
      <c r="D211" s="12">
        <v>36433</v>
      </c>
      <c r="E211" s="105" t="str">
        <f>IFERROR(VLOOKUP($D211,NUMDIST[],2,FALSE),"DA Non trouvéé")</f>
        <v>BUNIA - CHEZ JUSTIN</v>
      </c>
      <c r="F211" s="12" t="s">
        <v>262</v>
      </c>
      <c r="G211" s="14" t="s">
        <v>7</v>
      </c>
      <c r="H211" s="13">
        <v>1175000</v>
      </c>
      <c r="I211" s="13">
        <v>0</v>
      </c>
      <c r="J211" s="12" t="s">
        <v>254</v>
      </c>
      <c r="K211" s="28" t="s">
        <v>263</v>
      </c>
    </row>
    <row r="212" spans="3:11" ht="15.5" thickTop="1" thickBot="1" x14ac:dyDescent="0.4">
      <c r="C212" s="51" t="s">
        <v>278</v>
      </c>
      <c r="D212" s="12">
        <v>90172</v>
      </c>
      <c r="E212" s="105" t="str">
        <f>IFERROR(VLOOKUP($D212,NUMDIST[],2,FALSE),"DA Non trouvéé")</f>
        <v>BUNIA - SHOP DOXA</v>
      </c>
      <c r="F212" s="12" t="s">
        <v>262</v>
      </c>
      <c r="G212" s="14" t="s">
        <v>4</v>
      </c>
      <c r="H212" s="13">
        <v>500000</v>
      </c>
      <c r="I212" s="13">
        <v>0</v>
      </c>
      <c r="J212" s="12" t="s">
        <v>254</v>
      </c>
      <c r="K212" s="28" t="s">
        <v>263</v>
      </c>
    </row>
    <row r="213" spans="3:11" ht="15.5" thickTop="1" thickBot="1" x14ac:dyDescent="0.4">
      <c r="C213" s="51" t="s">
        <v>278</v>
      </c>
      <c r="D213" s="12">
        <v>71102</v>
      </c>
      <c r="E213" s="105" t="str">
        <f>IFERROR(VLOOKUP($D213,NUMDIST[],2,FALSE),"DA Non trouvéé")</f>
        <v>GOMA - BOUTIQUE JPS DM</v>
      </c>
      <c r="F213" s="12" t="s">
        <v>262</v>
      </c>
      <c r="G213" s="14" t="s">
        <v>5</v>
      </c>
      <c r="H213" s="13">
        <v>235000</v>
      </c>
      <c r="I213" s="13">
        <v>0</v>
      </c>
      <c r="J213" s="12" t="s">
        <v>254</v>
      </c>
      <c r="K213" s="28" t="s">
        <v>263</v>
      </c>
    </row>
    <row r="214" spans="3:11" ht="15.5" thickTop="1" thickBot="1" x14ac:dyDescent="0.4">
      <c r="C214" s="51" t="s">
        <v>278</v>
      </c>
      <c r="D214" s="12">
        <v>54298</v>
      </c>
      <c r="E214" s="105" t="str">
        <f>IFERROR(VLOOKUP($D214,NUMDIST[],2,FALSE),"DA Non trouvéé")</f>
        <v>KIVU - SHOP SATELLITE</v>
      </c>
      <c r="F214" s="12" t="s">
        <v>262</v>
      </c>
      <c r="G214" s="14" t="s">
        <v>5</v>
      </c>
      <c r="H214" s="13">
        <v>587500</v>
      </c>
      <c r="I214" s="13">
        <v>0</v>
      </c>
      <c r="J214" s="12" t="s">
        <v>254</v>
      </c>
      <c r="K214" s="28" t="s">
        <v>263</v>
      </c>
    </row>
    <row r="215" spans="3:11" ht="15.5" thickTop="1" thickBot="1" x14ac:dyDescent="0.4">
      <c r="C215" s="51" t="s">
        <v>278</v>
      </c>
      <c r="D215" s="12">
        <v>90192</v>
      </c>
      <c r="E215" s="105" t="str">
        <f>IFERROR(VLOOKUP($D215,NUMDIST[],2,FALSE),"DA Non trouvéé")</f>
        <v>BUKAVU - ETS LA GLOIRE</v>
      </c>
      <c r="F215" s="12" t="s">
        <v>262</v>
      </c>
      <c r="G215" s="14" t="s">
        <v>5</v>
      </c>
      <c r="H215" s="13">
        <v>293750</v>
      </c>
      <c r="I215" s="13">
        <v>0</v>
      </c>
      <c r="J215" s="12" t="s">
        <v>254</v>
      </c>
      <c r="K215" s="28" t="s">
        <v>263</v>
      </c>
    </row>
    <row r="216" spans="3:11" ht="15.5" thickTop="1" thickBot="1" x14ac:dyDescent="0.4">
      <c r="C216" s="51" t="s">
        <v>278</v>
      </c>
      <c r="D216" s="12">
        <v>87500</v>
      </c>
      <c r="E216" s="105" t="str">
        <f>IFERROR(VLOOKUP($D216,NUMDIST[],2,FALSE),"DA Non trouvéé")</f>
        <v>BUNIA - ETS DIEU MERCI</v>
      </c>
      <c r="F216" s="12" t="s">
        <v>262</v>
      </c>
      <c r="G216" s="14" t="s">
        <v>19</v>
      </c>
      <c r="H216" s="13">
        <v>211500</v>
      </c>
      <c r="I216" s="13">
        <v>0</v>
      </c>
      <c r="J216" s="12" t="s">
        <v>254</v>
      </c>
      <c r="K216" s="28" t="s">
        <v>263</v>
      </c>
    </row>
    <row r="217" spans="3:11" ht="15.5" thickTop="1" thickBot="1" x14ac:dyDescent="0.4">
      <c r="C217" s="51" t="s">
        <v>278</v>
      </c>
      <c r="D217" s="12">
        <v>90174</v>
      </c>
      <c r="E217" s="105" t="str">
        <f>IFERROR(VLOOKUP($D217,NUMDIST[],2,FALSE),"DA Non trouvéé")</f>
        <v>MAHAGI - ETS JACQUES PLUS</v>
      </c>
      <c r="F217" s="12" t="s">
        <v>262</v>
      </c>
      <c r="G217" s="14" t="s">
        <v>4</v>
      </c>
      <c r="H217" s="13">
        <v>260000</v>
      </c>
      <c r="I217" s="13">
        <v>0</v>
      </c>
      <c r="J217" s="12" t="s">
        <v>254</v>
      </c>
      <c r="K217" s="28" t="s">
        <v>263</v>
      </c>
    </row>
    <row r="218" spans="3:11" ht="15.5" thickTop="1" thickBot="1" x14ac:dyDescent="0.4">
      <c r="C218" s="51" t="s">
        <v>278</v>
      </c>
      <c r="D218" s="12">
        <v>34597</v>
      </c>
      <c r="E218" s="105" t="str">
        <f>IFERROR(VLOOKUP($D218,NUMDIST[],2,FALSE),"DA Non trouvéé")</f>
        <v>ETABLISSEMENT-  JPS DM BIGO</v>
      </c>
      <c r="F218" s="12" t="s">
        <v>262</v>
      </c>
      <c r="G218" s="14" t="s">
        <v>7</v>
      </c>
      <c r="H218" s="13">
        <v>987000</v>
      </c>
      <c r="I218" s="13">
        <v>0</v>
      </c>
      <c r="J218" s="12" t="s">
        <v>254</v>
      </c>
      <c r="K218" s="28" t="s">
        <v>263</v>
      </c>
    </row>
    <row r="219" spans="3:11" ht="15.5" thickTop="1" thickBot="1" x14ac:dyDescent="0.4">
      <c r="C219" s="51" t="s">
        <v>278</v>
      </c>
      <c r="D219" s="12">
        <v>55351</v>
      </c>
      <c r="E219" s="105" t="str">
        <f>IFERROR(VLOOKUP($D219,NUMDIST[],2,FALSE),"DA Non trouvéé")</f>
        <v>ITURI - PARADOXE BUSINESS</v>
      </c>
      <c r="F219" s="12" t="s">
        <v>262</v>
      </c>
      <c r="G219" s="14" t="s">
        <v>8</v>
      </c>
      <c r="H219" s="13">
        <v>587500</v>
      </c>
      <c r="I219" s="13">
        <v>0</v>
      </c>
      <c r="J219" s="12" t="s">
        <v>254</v>
      </c>
      <c r="K219" s="28" t="s">
        <v>263</v>
      </c>
    </row>
    <row r="220" spans="3:11" ht="15.5" thickTop="1" thickBot="1" x14ac:dyDescent="0.4">
      <c r="C220" s="51" t="s">
        <v>278</v>
      </c>
      <c r="D220" s="12">
        <v>87012</v>
      </c>
      <c r="E220" s="105" t="str">
        <f>IFERROR(VLOOKUP($D220,NUMDIST[],2,FALSE),"DA Non trouvéé")</f>
        <v>BUNIA - ETS AIGLE</v>
      </c>
      <c r="F220" s="12" t="s">
        <v>262</v>
      </c>
      <c r="G220" s="14" t="s">
        <v>4</v>
      </c>
      <c r="H220" s="13">
        <v>235000</v>
      </c>
      <c r="I220" s="13">
        <v>0</v>
      </c>
      <c r="J220" s="12" t="s">
        <v>254</v>
      </c>
      <c r="K220" s="28" t="s">
        <v>263</v>
      </c>
    </row>
    <row r="221" spans="3:11" ht="15.5" thickTop="1" thickBot="1" x14ac:dyDescent="0.4">
      <c r="C221" s="51" t="s">
        <v>278</v>
      </c>
      <c r="D221" s="12">
        <v>91402</v>
      </c>
      <c r="E221" s="105" t="str">
        <f>IFERROR(VLOOKUP($D221,NUMDIST[],2,FALSE),"DA Non trouvéé")</f>
        <v>GOMA - MIKA SHOP</v>
      </c>
      <c r="F221" s="12" t="s">
        <v>262</v>
      </c>
      <c r="G221" s="14" t="s">
        <v>5</v>
      </c>
      <c r="H221" s="13">
        <v>117500</v>
      </c>
      <c r="I221" s="13">
        <v>0</v>
      </c>
      <c r="J221" s="12" t="s">
        <v>254</v>
      </c>
      <c r="K221" s="28" t="s">
        <v>263</v>
      </c>
    </row>
    <row r="222" spans="3:11" ht="15.5" thickTop="1" thickBot="1" x14ac:dyDescent="0.4">
      <c r="C222" s="51" t="s">
        <v>278</v>
      </c>
      <c r="D222" s="12">
        <v>55350</v>
      </c>
      <c r="E222" s="105" t="str">
        <f>IFERROR(VLOOKUP($D222,NUMDIST[],2,FALSE),"DA Non trouvéé")</f>
        <v>OICHA - CLINIQUE ORDINATEURS</v>
      </c>
      <c r="F222" s="12" t="s">
        <v>262</v>
      </c>
      <c r="G222" s="14" t="s">
        <v>5</v>
      </c>
      <c r="H222" s="13">
        <v>376000</v>
      </c>
      <c r="I222" s="13">
        <v>0</v>
      </c>
      <c r="J222" s="12" t="s">
        <v>254</v>
      </c>
      <c r="K222" s="28" t="s">
        <v>263</v>
      </c>
    </row>
    <row r="223" spans="3:11" ht="15.5" thickTop="1" thickBot="1" x14ac:dyDescent="0.4">
      <c r="C223" s="51" t="s">
        <v>278</v>
      </c>
      <c r="D223" s="12">
        <v>104788</v>
      </c>
      <c r="E223" s="105" t="str">
        <f>IFERROR(VLOOKUP($D223,NUMDIST[],2,FALSE),"DA Non trouvéé")</f>
        <v>BUNIA - ETS DON DE DIEU</v>
      </c>
      <c r="F223" s="12" t="s">
        <v>262</v>
      </c>
      <c r="G223" s="14" t="s">
        <v>19</v>
      </c>
      <c r="H223" s="13">
        <v>235000</v>
      </c>
      <c r="I223" s="13">
        <v>0</v>
      </c>
      <c r="J223" s="12" t="s">
        <v>254</v>
      </c>
      <c r="K223" s="28" t="s">
        <v>263</v>
      </c>
    </row>
    <row r="224" spans="3:11" ht="15.5" thickTop="1" thickBot="1" x14ac:dyDescent="0.4">
      <c r="C224" s="51" t="s">
        <v>278</v>
      </c>
      <c r="D224" s="12">
        <v>99337</v>
      </c>
      <c r="E224" s="105" t="str">
        <f>IFERROR(VLOOKUP($D224,NUMDIST[],2,FALSE),"DA Non trouvéé")</f>
        <v>ISIRO - SHOP CHARA HOUSE</v>
      </c>
      <c r="F224" s="12" t="s">
        <v>262</v>
      </c>
      <c r="G224" s="14" t="s">
        <v>7</v>
      </c>
      <c r="H224" s="13">
        <v>848350</v>
      </c>
      <c r="I224" s="13">
        <v>0</v>
      </c>
      <c r="J224" s="12" t="s">
        <v>254</v>
      </c>
      <c r="K224" s="28" t="s">
        <v>263</v>
      </c>
    </row>
    <row r="225" spans="3:11" ht="15.5" thickTop="1" thickBot="1" x14ac:dyDescent="0.4">
      <c r="C225" s="51" t="s">
        <v>278</v>
      </c>
      <c r="D225" s="12">
        <v>90134</v>
      </c>
      <c r="E225" s="105" t="str">
        <f>IFERROR(VLOOKUP($D225,NUMDIST[],2,FALSE),"DA Non trouvéé")</f>
        <v>KISANGANI - ETS SOLUTION PLUS</v>
      </c>
      <c r="F225" s="12" t="s">
        <v>262</v>
      </c>
      <c r="G225" s="14" t="s">
        <v>4</v>
      </c>
      <c r="H225" s="13">
        <v>434750</v>
      </c>
      <c r="I225" s="13">
        <v>0</v>
      </c>
      <c r="J225" s="12" t="s">
        <v>254</v>
      </c>
      <c r="K225" s="28" t="s">
        <v>263</v>
      </c>
    </row>
    <row r="226" spans="3:11" ht="15.5" thickTop="1" thickBot="1" x14ac:dyDescent="0.4">
      <c r="C226" s="51" t="s">
        <v>278</v>
      </c>
      <c r="D226" s="12">
        <v>90173</v>
      </c>
      <c r="E226" s="105" t="str">
        <f>IFERROR(VLOOKUP($D226,NUMDIST[],2,FALSE),"DA Non trouvéé")</f>
        <v>BUNIA - ZI BUSINESS</v>
      </c>
      <c r="F226" s="12" t="s">
        <v>262</v>
      </c>
      <c r="G226" s="14" t="s">
        <v>19</v>
      </c>
      <c r="H226" s="13">
        <v>230000</v>
      </c>
      <c r="I226" s="13">
        <v>0</v>
      </c>
      <c r="J226" s="12" t="s">
        <v>254</v>
      </c>
      <c r="K226" s="28" t="s">
        <v>263</v>
      </c>
    </row>
    <row r="227" spans="3:11" ht="15.5" thickTop="1" thickBot="1" x14ac:dyDescent="0.4">
      <c r="C227" s="51" t="s">
        <v>278</v>
      </c>
      <c r="D227" s="12">
        <v>85827</v>
      </c>
      <c r="E227" s="105" t="str">
        <f>IFERROR(VLOOKUP($D227,NUMDIST[],2,FALSE),"DA Non trouvéé")</f>
        <v>KISANGANI - SHOP LA GRACE</v>
      </c>
      <c r="F227" s="12" t="s">
        <v>262</v>
      </c>
      <c r="G227" s="14" t="s">
        <v>7</v>
      </c>
      <c r="H227" s="13">
        <v>611000</v>
      </c>
      <c r="I227" s="13">
        <v>0</v>
      </c>
      <c r="J227" s="12" t="s">
        <v>254</v>
      </c>
      <c r="K227" s="28" t="s">
        <v>263</v>
      </c>
    </row>
    <row r="228" spans="3:11" ht="15.5" thickTop="1" thickBot="1" x14ac:dyDescent="0.4">
      <c r="C228" s="51" t="s">
        <v>278</v>
      </c>
      <c r="D228" s="12">
        <v>59057</v>
      </c>
      <c r="E228" s="105" t="str">
        <f>IFERROR(VLOOKUP($D228,NUMDIST[],2,FALSE),"DA Non trouvéé")</f>
        <v>ITURI - ETS BJSE</v>
      </c>
      <c r="F228" s="12" t="s">
        <v>262</v>
      </c>
      <c r="G228" s="14" t="s">
        <v>19</v>
      </c>
      <c r="H228" s="13">
        <v>2350000</v>
      </c>
      <c r="I228" s="13">
        <v>0</v>
      </c>
      <c r="J228" s="12" t="s">
        <v>254</v>
      </c>
      <c r="K228" s="28" t="s">
        <v>263</v>
      </c>
    </row>
    <row r="229" spans="3:11" ht="15.5" thickTop="1" thickBot="1" x14ac:dyDescent="0.4">
      <c r="C229" s="51" t="s">
        <v>278</v>
      </c>
      <c r="D229" s="12">
        <v>90163</v>
      </c>
      <c r="E229" s="105" t="str">
        <f>IFERROR(VLOOKUP($D229,NUMDIST[],2,FALSE),"DA Non trouvéé")</f>
        <v>BUTEMBO - GRANDEUR DIVINE SHOP</v>
      </c>
      <c r="F229" s="12" t="s">
        <v>262</v>
      </c>
      <c r="G229" s="14" t="s">
        <v>9</v>
      </c>
      <c r="H229" s="13">
        <v>4230000</v>
      </c>
      <c r="I229" s="13">
        <v>0</v>
      </c>
      <c r="J229" s="12" t="s">
        <v>254</v>
      </c>
      <c r="K229" s="28" t="s">
        <v>263</v>
      </c>
    </row>
    <row r="230" spans="3:11" ht="15.5" thickTop="1" thickBot="1" x14ac:dyDescent="0.4">
      <c r="C230" s="51" t="s">
        <v>278</v>
      </c>
      <c r="D230" s="12">
        <v>104828</v>
      </c>
      <c r="E230" s="105" t="str">
        <f>IFERROR(VLOOKUP($D230,NUMDIST[],2,FALSE),"DA Non trouvéé")</f>
        <v>WAMBA - MAISON OKAPI</v>
      </c>
      <c r="F230" s="12" t="s">
        <v>262</v>
      </c>
      <c r="G230" s="14" t="s">
        <v>4</v>
      </c>
      <c r="H230" s="13">
        <v>60000</v>
      </c>
      <c r="I230" s="13">
        <v>0</v>
      </c>
      <c r="J230" s="12" t="s">
        <v>254</v>
      </c>
      <c r="K230" s="28" t="s">
        <v>263</v>
      </c>
    </row>
    <row r="231" spans="3:11" ht="15.5" thickTop="1" thickBot="1" x14ac:dyDescent="0.4">
      <c r="C231" s="51" t="s">
        <v>278</v>
      </c>
      <c r="D231" s="12">
        <v>90164</v>
      </c>
      <c r="E231" s="105" t="str">
        <f>IFERROR(VLOOKUP($D231,NUMDIST[],2,FALSE),"DA Non trouvéé")</f>
        <v>BUNIA - ALPHA SHOP</v>
      </c>
      <c r="F231" s="12" t="s">
        <v>262</v>
      </c>
      <c r="G231" s="14" t="s">
        <v>8</v>
      </c>
      <c r="H231" s="13">
        <v>470000</v>
      </c>
      <c r="I231" s="13">
        <v>0</v>
      </c>
      <c r="J231" s="12" t="s">
        <v>254</v>
      </c>
      <c r="K231" s="28" t="s">
        <v>263</v>
      </c>
    </row>
    <row r="232" spans="3:11" ht="15.5" thickTop="1" thickBot="1" x14ac:dyDescent="0.4">
      <c r="C232" s="51" t="s">
        <v>278</v>
      </c>
      <c r="D232" s="12">
        <v>105534</v>
      </c>
      <c r="E232" s="105" t="str">
        <f>IFERROR(VLOOKUP($D232,NUMDIST[],2,FALSE),"DA Non trouvéé")</f>
        <v>ARU - ANSELME SHOP</v>
      </c>
      <c r="F232" s="12" t="s">
        <v>262</v>
      </c>
      <c r="G232" s="14" t="s">
        <v>4</v>
      </c>
      <c r="H232" s="13">
        <v>250000</v>
      </c>
      <c r="I232" s="13">
        <v>0</v>
      </c>
      <c r="J232" s="12" t="s">
        <v>254</v>
      </c>
      <c r="K232" s="28" t="s">
        <v>263</v>
      </c>
    </row>
    <row r="233" spans="3:11" ht="15.5" thickTop="1" thickBot="1" x14ac:dyDescent="0.4">
      <c r="C233" s="51" t="s">
        <v>279</v>
      </c>
      <c r="D233" s="12">
        <v>59057</v>
      </c>
      <c r="E233" s="105" t="str">
        <f>IFERROR(VLOOKUP($D233,NUMDIST[],2,FALSE),"DA Non trouvéé")</f>
        <v>ITURI - ETS BJSE</v>
      </c>
      <c r="F233" s="12" t="s">
        <v>262</v>
      </c>
      <c r="G233" s="14" t="s">
        <v>19</v>
      </c>
      <c r="H233" s="13">
        <v>2350000</v>
      </c>
      <c r="I233" s="13">
        <v>0</v>
      </c>
      <c r="J233" s="12"/>
      <c r="K233" s="28" t="s">
        <v>263</v>
      </c>
    </row>
    <row r="234" spans="3:11" ht="15.5" thickTop="1" thickBot="1" x14ac:dyDescent="0.4">
      <c r="C234" s="51" t="s">
        <v>279</v>
      </c>
      <c r="D234" s="12">
        <v>80558</v>
      </c>
      <c r="E234" s="105" t="str">
        <f>IFERROR(VLOOKUP($D234,NUMDIST[],2,FALSE),"DA Non trouvéé")</f>
        <v>KALEMIE - SATELLITE</v>
      </c>
      <c r="F234" s="12" t="s">
        <v>262</v>
      </c>
      <c r="G234" s="14" t="s">
        <v>6</v>
      </c>
      <c r="H234" s="13">
        <v>235000</v>
      </c>
      <c r="I234" s="13">
        <v>0</v>
      </c>
      <c r="J234" s="12" t="s">
        <v>15</v>
      </c>
      <c r="K234" s="28" t="s">
        <v>263</v>
      </c>
    </row>
    <row r="235" spans="3:11" ht="15.5" thickTop="1" thickBot="1" x14ac:dyDescent="0.4">
      <c r="C235" s="51" t="s">
        <v>279</v>
      </c>
      <c r="D235" s="12">
        <v>84318</v>
      </c>
      <c r="E235" s="105" t="str">
        <f>IFERROR(VLOOKUP($D235,NUMDIST[],2,FALSE),"DA Non trouvéé")</f>
        <v>BUTEMBO - FONDATION RUMY</v>
      </c>
      <c r="F235" s="12" t="s">
        <v>262</v>
      </c>
      <c r="G235" s="14" t="s">
        <v>7</v>
      </c>
      <c r="H235" s="13">
        <v>235000</v>
      </c>
      <c r="I235" s="13">
        <v>0</v>
      </c>
      <c r="J235" s="12"/>
      <c r="K235" s="28" t="s">
        <v>263</v>
      </c>
    </row>
    <row r="236" spans="3:11" ht="15.5" thickTop="1" thickBot="1" x14ac:dyDescent="0.4">
      <c r="C236" s="51" t="s">
        <v>279</v>
      </c>
      <c r="D236" s="12">
        <v>85827</v>
      </c>
      <c r="E236" s="105" t="str">
        <f>IFERROR(VLOOKUP($D236,NUMDIST[],2,FALSE),"DA Non trouvéé")</f>
        <v>KISANGANI - SHOP LA GRACE</v>
      </c>
      <c r="F236" s="12" t="s">
        <v>262</v>
      </c>
      <c r="G236" s="14" t="s">
        <v>7</v>
      </c>
      <c r="H236" s="13">
        <v>705000</v>
      </c>
      <c r="I236" s="13">
        <v>0</v>
      </c>
      <c r="J236" s="12"/>
      <c r="K236" s="28" t="s">
        <v>263</v>
      </c>
    </row>
    <row r="237" spans="3:11" ht="15.5" thickTop="1" thickBot="1" x14ac:dyDescent="0.4">
      <c r="C237" s="51" t="s">
        <v>279</v>
      </c>
      <c r="D237" s="12">
        <v>90174</v>
      </c>
      <c r="E237" s="105" t="str">
        <f>IFERROR(VLOOKUP($D237,NUMDIST[],2,FALSE),"DA Non trouvéé")</f>
        <v>MAHAGI - ETS JACQUES PLUS</v>
      </c>
      <c r="F237" s="12" t="s">
        <v>262</v>
      </c>
      <c r="G237" s="14" t="s">
        <v>4</v>
      </c>
      <c r="H237" s="13">
        <v>250000</v>
      </c>
      <c r="I237" s="13">
        <v>0</v>
      </c>
      <c r="J237" s="12"/>
      <c r="K237" s="28" t="s">
        <v>263</v>
      </c>
    </row>
    <row r="238" spans="3:11" ht="15.5" thickTop="1" thickBot="1" x14ac:dyDescent="0.4">
      <c r="C238" s="51" t="s">
        <v>279</v>
      </c>
      <c r="D238" s="12">
        <v>87013</v>
      </c>
      <c r="E238" s="105" t="str">
        <f>IFERROR(VLOOKUP($D238,NUMDIST[],2,FALSE),"DA Non trouvéé")</f>
        <v>BUNIA - JC SANS TACHES</v>
      </c>
      <c r="F238" s="12" t="s">
        <v>262</v>
      </c>
      <c r="G238" s="14" t="s">
        <v>4</v>
      </c>
      <c r="H238" s="13">
        <v>366600</v>
      </c>
      <c r="I238" s="13">
        <v>0</v>
      </c>
      <c r="J238" s="12"/>
      <c r="K238" s="28" t="s">
        <v>263</v>
      </c>
    </row>
    <row r="239" spans="3:11" ht="15.5" thickTop="1" thickBot="1" x14ac:dyDescent="0.4">
      <c r="C239" s="51" t="s">
        <v>279</v>
      </c>
      <c r="D239" s="12">
        <v>90192</v>
      </c>
      <c r="E239" s="105" t="str">
        <f>IFERROR(VLOOKUP($D239,NUMDIST[],2,FALSE),"DA Non trouvéé")</f>
        <v>BUKAVU - ETS LA GLOIRE</v>
      </c>
      <c r="F239" s="12" t="s">
        <v>262</v>
      </c>
      <c r="G239" s="14" t="s">
        <v>5</v>
      </c>
      <c r="H239" s="13">
        <v>528750</v>
      </c>
      <c r="I239" s="13">
        <v>0</v>
      </c>
      <c r="J239" s="12"/>
      <c r="K239" s="28" t="s">
        <v>263</v>
      </c>
    </row>
    <row r="240" spans="3:11" ht="15.5" thickTop="1" thickBot="1" x14ac:dyDescent="0.4">
      <c r="C240" s="51" t="s">
        <v>279</v>
      </c>
      <c r="D240" s="12">
        <v>36430</v>
      </c>
      <c r="E240" s="105" t="str">
        <f>IFERROR(VLOOKUP($D240,NUMDIST[],2,FALSE),"DA Non trouvéé")</f>
        <v>Bunia - ETS BOTOAFINE</v>
      </c>
      <c r="F240" s="12" t="s">
        <v>262</v>
      </c>
      <c r="G240" s="14" t="s">
        <v>19</v>
      </c>
      <c r="H240" s="13">
        <v>164500</v>
      </c>
      <c r="I240" s="13">
        <v>0</v>
      </c>
      <c r="J240" s="12"/>
      <c r="K240" s="28" t="s">
        <v>263</v>
      </c>
    </row>
    <row r="241" spans="3:11" ht="15.5" thickTop="1" thickBot="1" x14ac:dyDescent="0.4">
      <c r="C241" s="51" t="s">
        <v>279</v>
      </c>
      <c r="D241" s="12">
        <v>95820</v>
      </c>
      <c r="E241" s="105" t="str">
        <f>IFERROR(VLOOKUP($D241,NUMDIST[],2,FALSE),"DA Non trouvéé")</f>
        <v>MONGWALU - MAISON INTEMPORELLE</v>
      </c>
      <c r="F241" s="12" t="s">
        <v>262</v>
      </c>
      <c r="G241" s="14" t="s">
        <v>4</v>
      </c>
      <c r="H241" s="13">
        <v>712500</v>
      </c>
      <c r="I241" s="13">
        <v>0</v>
      </c>
      <c r="J241" s="12"/>
      <c r="K241" s="28" t="s">
        <v>263</v>
      </c>
    </row>
    <row r="242" spans="3:11" ht="15.5" thickTop="1" thickBot="1" x14ac:dyDescent="0.4">
      <c r="C242" s="51" t="s">
        <v>279</v>
      </c>
      <c r="D242" s="12">
        <v>71084</v>
      </c>
      <c r="E242" s="105" t="str">
        <f>IFERROR(VLOOKUP($D242,NUMDIST[],2,FALSE),"DA Non trouvéé")</f>
        <v>DURBA - Ets HUSSUMA BUSINESS</v>
      </c>
      <c r="F242" s="12" t="s">
        <v>262</v>
      </c>
      <c r="G242" s="14" t="s">
        <v>4</v>
      </c>
      <c r="H242" s="13">
        <v>10363500</v>
      </c>
      <c r="I242" s="13">
        <v>0</v>
      </c>
      <c r="J242" s="12"/>
      <c r="K242" s="28" t="s">
        <v>263</v>
      </c>
    </row>
    <row r="243" spans="3:11" ht="15.5" thickTop="1" thickBot="1" x14ac:dyDescent="0.4">
      <c r="C243" s="51" t="s">
        <v>279</v>
      </c>
      <c r="D243" s="12">
        <v>36431</v>
      </c>
      <c r="E243" s="105" t="str">
        <f>IFERROR(VLOOKUP($D243,NUMDIST[],2,FALSE),"DA Non trouvéé")</f>
        <v>Isiro - MACAMPAGNE</v>
      </c>
      <c r="F243" s="12" t="s">
        <v>262</v>
      </c>
      <c r="G243" s="14" t="s">
        <v>8</v>
      </c>
      <c r="H243" s="13">
        <v>526500</v>
      </c>
      <c r="I243" s="13">
        <v>0</v>
      </c>
      <c r="J243" s="12"/>
      <c r="K243" s="28" t="s">
        <v>263</v>
      </c>
    </row>
    <row r="244" spans="3:11" ht="15.5" thickTop="1" thickBot="1" x14ac:dyDescent="0.4">
      <c r="C244" s="51" t="s">
        <v>279</v>
      </c>
      <c r="D244" s="12">
        <v>55348</v>
      </c>
      <c r="E244" s="105" t="str">
        <f>IFERROR(VLOOKUP($D244,NUMDIST[],2,FALSE),"DA Non trouvéé")</f>
        <v>WAROMA - BUSINESS</v>
      </c>
      <c r="F244" s="12" t="s">
        <v>262</v>
      </c>
      <c r="G244" s="14" t="s">
        <v>4</v>
      </c>
      <c r="H244" s="13">
        <v>117500</v>
      </c>
      <c r="I244" s="13">
        <v>0</v>
      </c>
      <c r="J244" s="12"/>
      <c r="K244" s="28" t="s">
        <v>263</v>
      </c>
    </row>
    <row r="245" spans="3:11" ht="15.5" thickTop="1" thickBot="1" x14ac:dyDescent="0.4">
      <c r="C245" s="51" t="s">
        <v>279</v>
      </c>
      <c r="D245" s="12">
        <v>96214</v>
      </c>
      <c r="E245" s="105" t="str">
        <f>IFERROR(VLOOKUP($D245,NUMDIST[],2,FALSE),"DA Non trouvéé")</f>
        <v>BUNIA - ETS AMJBUS</v>
      </c>
      <c r="F245" s="12" t="s">
        <v>262</v>
      </c>
      <c r="G245" s="14" t="s">
        <v>19</v>
      </c>
      <c r="H245" s="13">
        <v>164500</v>
      </c>
      <c r="I245" s="13">
        <v>0</v>
      </c>
      <c r="J245" s="12"/>
      <c r="K245" s="28" t="s">
        <v>263</v>
      </c>
    </row>
    <row r="246" spans="3:11" ht="15.5" thickTop="1" thickBot="1" x14ac:dyDescent="0.4">
      <c r="C246" s="51" t="s">
        <v>279</v>
      </c>
      <c r="D246" s="12">
        <v>42152</v>
      </c>
      <c r="E246" s="105" t="str">
        <f>IFERROR(VLOOKUP($D246,NUMDIST[],2,FALSE),"DA Non trouvéé")</f>
        <v>Bunia - Ets SKY</v>
      </c>
      <c r="F246" s="12" t="s">
        <v>262</v>
      </c>
      <c r="G246" s="14" t="s">
        <v>10</v>
      </c>
      <c r="H246" s="13">
        <v>1128500</v>
      </c>
      <c r="I246" s="13">
        <v>0</v>
      </c>
      <c r="J246" s="12"/>
      <c r="K246" s="28" t="s">
        <v>263</v>
      </c>
    </row>
    <row r="247" spans="3:11" ht="15.5" thickTop="1" thickBot="1" x14ac:dyDescent="0.4">
      <c r="C247" s="51" t="s">
        <v>279</v>
      </c>
      <c r="D247" s="12">
        <v>104929</v>
      </c>
      <c r="E247" s="105" t="str">
        <f>IFERROR(VLOOKUP($D247,NUMDIST[],2,FALSE),"DA Non trouvéé")</f>
        <v>KISANGANI - THEODOR BUSINESS</v>
      </c>
      <c r="F247" s="12" t="s">
        <v>262</v>
      </c>
      <c r="G247" s="14" t="s">
        <v>4</v>
      </c>
      <c r="H247" s="13">
        <v>188000</v>
      </c>
      <c r="I247" s="13">
        <v>0</v>
      </c>
      <c r="J247" s="12"/>
      <c r="K247" s="28" t="s">
        <v>263</v>
      </c>
    </row>
    <row r="248" spans="3:11" ht="15.5" thickTop="1" thickBot="1" x14ac:dyDescent="0.4">
      <c r="C248" s="51" t="s">
        <v>279</v>
      </c>
      <c r="D248" s="12">
        <v>34597</v>
      </c>
      <c r="E248" s="105" t="str">
        <f>IFERROR(VLOOKUP($D248,NUMDIST[],2,FALSE),"DA Non trouvéé")</f>
        <v>ETABLISSEMENT-  JPS DM BIGO</v>
      </c>
      <c r="F248" s="12" t="s">
        <v>262</v>
      </c>
      <c r="G248" s="14" t="s">
        <v>19</v>
      </c>
      <c r="H248" s="13">
        <v>23500</v>
      </c>
      <c r="I248" s="13">
        <v>0</v>
      </c>
      <c r="J248" s="12"/>
      <c r="K248" s="28" t="s">
        <v>263</v>
      </c>
    </row>
    <row r="249" spans="3:11" ht="15.5" thickTop="1" thickBot="1" x14ac:dyDescent="0.4">
      <c r="C249" s="51" t="s">
        <v>279</v>
      </c>
      <c r="D249" s="12">
        <v>36710</v>
      </c>
      <c r="E249" s="105" t="str">
        <f>IFERROR(VLOOKUP($D249,NUMDIST[],2,FALSE),"DA Non trouvéé")</f>
        <v>BUNIA - BOUTIQUE JPS DM</v>
      </c>
      <c r="F249" s="12" t="s">
        <v>262</v>
      </c>
      <c r="G249" s="14" t="s">
        <v>19</v>
      </c>
      <c r="H249" s="13">
        <v>4966800</v>
      </c>
      <c r="I249" s="13">
        <v>0</v>
      </c>
      <c r="J249" s="12"/>
      <c r="K249" s="28" t="s">
        <v>263</v>
      </c>
    </row>
    <row r="250" spans="3:11" ht="15.5" thickTop="1" thickBot="1" x14ac:dyDescent="0.4">
      <c r="C250" s="51" t="s">
        <v>279</v>
      </c>
      <c r="D250" s="12">
        <v>36433</v>
      </c>
      <c r="E250" s="105" t="str">
        <f>IFERROR(VLOOKUP($D250,NUMDIST[],2,FALSE),"DA Non trouvéé")</f>
        <v>BUNIA - CHEZ JUSTIN</v>
      </c>
      <c r="F250" s="12" t="s">
        <v>262</v>
      </c>
      <c r="G250" s="14" t="s">
        <v>7</v>
      </c>
      <c r="H250" s="13">
        <v>1175000</v>
      </c>
      <c r="I250" s="13">
        <v>0</v>
      </c>
      <c r="J250" s="12"/>
      <c r="K250" s="28" t="s">
        <v>263</v>
      </c>
    </row>
    <row r="251" spans="3:11" ht="15.5" thickTop="1" thickBot="1" x14ac:dyDescent="0.4">
      <c r="C251" s="51" t="s">
        <v>279</v>
      </c>
      <c r="D251" s="12">
        <v>99337</v>
      </c>
      <c r="E251" s="105" t="str">
        <f>IFERROR(VLOOKUP($D251,NUMDIST[],2,FALSE),"DA Non trouvéé")</f>
        <v>ISIRO - SHOP CHARA HOUSE</v>
      </c>
      <c r="F251" s="12" t="s">
        <v>262</v>
      </c>
      <c r="G251" s="14" t="s">
        <v>7</v>
      </c>
      <c r="H251" s="13">
        <v>1320700</v>
      </c>
      <c r="I251" s="13">
        <v>0</v>
      </c>
      <c r="J251" s="12"/>
      <c r="K251" s="28" t="s">
        <v>263</v>
      </c>
    </row>
    <row r="252" spans="3:11" ht="15.5" thickTop="1" thickBot="1" x14ac:dyDescent="0.4">
      <c r="C252" s="51" t="s">
        <v>279</v>
      </c>
      <c r="D252" s="12">
        <v>34597</v>
      </c>
      <c r="E252" s="105" t="str">
        <f>IFERROR(VLOOKUP($D252,NUMDIST[],2,FALSE),"DA Non trouvéé")</f>
        <v>ETABLISSEMENT-  JPS DM BIGO</v>
      </c>
      <c r="F252" s="12" t="s">
        <v>262</v>
      </c>
      <c r="G252" s="14" t="s">
        <v>19</v>
      </c>
      <c r="H252" s="13">
        <v>47000</v>
      </c>
      <c r="I252" s="13">
        <v>0</v>
      </c>
      <c r="J252" s="12"/>
      <c r="K252" s="28" t="s">
        <v>263</v>
      </c>
    </row>
    <row r="253" spans="3:11" ht="15.5" thickTop="1" thickBot="1" x14ac:dyDescent="0.4">
      <c r="C253" s="51" t="s">
        <v>279</v>
      </c>
      <c r="D253" s="12">
        <v>85827</v>
      </c>
      <c r="E253" s="105" t="str">
        <f>IFERROR(VLOOKUP($D253,NUMDIST[],2,FALSE),"DA Non trouvéé")</f>
        <v>KISANGANI - SHOP LA GRACE</v>
      </c>
      <c r="F253" s="12" t="s">
        <v>262</v>
      </c>
      <c r="G253" s="14" t="s">
        <v>4</v>
      </c>
      <c r="H253" s="13">
        <v>796650</v>
      </c>
      <c r="I253" s="13">
        <v>0</v>
      </c>
      <c r="J253" s="12"/>
      <c r="K253" s="28" t="s">
        <v>263</v>
      </c>
    </row>
    <row r="254" spans="3:11" ht="15.5" thickTop="1" thickBot="1" x14ac:dyDescent="0.4">
      <c r="C254" s="51" t="s">
        <v>279</v>
      </c>
      <c r="D254" s="12">
        <v>91398</v>
      </c>
      <c r="E254" s="105" t="str">
        <f>IFERROR(VLOOKUP($D254,NUMDIST[],2,FALSE),"DA Non trouvéé")</f>
        <v>GOMA - YEKAYA BUSINESS</v>
      </c>
      <c r="F254" s="12" t="s">
        <v>262</v>
      </c>
      <c r="G254" s="14" t="s">
        <v>5</v>
      </c>
      <c r="H254" s="13">
        <v>235000</v>
      </c>
      <c r="I254" s="13">
        <v>0</v>
      </c>
      <c r="J254" s="12"/>
      <c r="K254" s="28" t="s">
        <v>263</v>
      </c>
    </row>
    <row r="255" spans="3:11" ht="15.5" thickTop="1" thickBot="1" x14ac:dyDescent="0.4">
      <c r="C255" s="51" t="s">
        <v>279</v>
      </c>
      <c r="D255" s="12">
        <v>90181</v>
      </c>
      <c r="E255" s="105" t="str">
        <f>IFERROR(VLOOKUP($D255,NUMDIST[],2,FALSE),"DA Non trouvéé")</f>
        <v>BUNIA - LA GRACE DIVINE</v>
      </c>
      <c r="F255" s="12" t="s">
        <v>262</v>
      </c>
      <c r="G255" s="14" t="s">
        <v>5</v>
      </c>
      <c r="H255" s="13">
        <v>235000</v>
      </c>
      <c r="I255" s="13">
        <v>0</v>
      </c>
      <c r="J255" s="12"/>
      <c r="K255" s="28" t="s">
        <v>263</v>
      </c>
    </row>
    <row r="256" spans="3:11" ht="15.5" thickTop="1" thickBot="1" x14ac:dyDescent="0.4">
      <c r="C256" s="51" t="s">
        <v>279</v>
      </c>
      <c r="D256" s="12">
        <v>55349</v>
      </c>
      <c r="E256" s="105" t="str">
        <f>IFERROR(VLOOKUP($D256,NUMDIST[],2,FALSE),"DA Non trouvéé")</f>
        <v>ISIRO - LES AMIS</v>
      </c>
      <c r="F256" s="12" t="s">
        <v>262</v>
      </c>
      <c r="G256" s="14" t="s">
        <v>7</v>
      </c>
      <c r="H256" s="13">
        <v>423000</v>
      </c>
      <c r="I256" s="13">
        <v>0</v>
      </c>
      <c r="J256" s="12"/>
      <c r="K256" s="28" t="s">
        <v>263</v>
      </c>
    </row>
    <row r="257" spans="3:11" ht="15.5" thickTop="1" thickBot="1" x14ac:dyDescent="0.4">
      <c r="C257" s="51" t="s">
        <v>279</v>
      </c>
      <c r="D257" s="12">
        <v>34597</v>
      </c>
      <c r="E257" s="105" t="str">
        <f>IFERROR(VLOOKUP($D257,NUMDIST[],2,FALSE),"DA Non trouvéé")</f>
        <v>ETABLISSEMENT-  JPS DM BIGO</v>
      </c>
      <c r="F257" s="12" t="s">
        <v>262</v>
      </c>
      <c r="G257" s="14" t="s">
        <v>7</v>
      </c>
      <c r="H257" s="13">
        <v>1515750</v>
      </c>
      <c r="I257" s="13">
        <v>0</v>
      </c>
      <c r="J257" s="12"/>
      <c r="K257" s="28" t="s">
        <v>263</v>
      </c>
    </row>
    <row r="258" spans="3:11" ht="15.5" thickTop="1" thickBot="1" x14ac:dyDescent="0.4">
      <c r="C258" s="51" t="s">
        <v>279</v>
      </c>
      <c r="D258" s="12">
        <v>87503</v>
      </c>
      <c r="E258" s="105" t="str">
        <f>IFERROR(VLOOKUP($D258,NUMDIST[],2,FALSE),"DA Non trouvéé")</f>
        <v>BUKAVU - ETS DIEU EST GRAND</v>
      </c>
      <c r="F258" s="12" t="s">
        <v>262</v>
      </c>
      <c r="G258" s="14" t="s">
        <v>7</v>
      </c>
      <c r="H258" s="13">
        <v>470000</v>
      </c>
      <c r="I258" s="13">
        <v>0</v>
      </c>
      <c r="J258" s="12"/>
      <c r="K258" s="28" t="s">
        <v>263</v>
      </c>
    </row>
    <row r="259" spans="3:11" ht="15.5" thickTop="1" thickBot="1" x14ac:dyDescent="0.4">
      <c r="C259" s="51" t="s">
        <v>279</v>
      </c>
      <c r="D259" s="12">
        <v>55348</v>
      </c>
      <c r="E259" s="105" t="str">
        <f>IFERROR(VLOOKUP($D259,NUMDIST[],2,FALSE),"DA Non trouvéé")</f>
        <v>WAROMA - BUSINESS</v>
      </c>
      <c r="F259" s="12" t="s">
        <v>262</v>
      </c>
      <c r="G259" s="14" t="s">
        <v>19</v>
      </c>
      <c r="H259" s="13">
        <v>94000</v>
      </c>
      <c r="I259" s="13">
        <v>0</v>
      </c>
      <c r="J259" s="12"/>
      <c r="K259" s="28"/>
    </row>
    <row r="260" spans="3:11" ht="15.5" thickTop="1" thickBot="1" x14ac:dyDescent="0.4">
      <c r="C260" s="51" t="s">
        <v>280</v>
      </c>
      <c r="D260" s="12">
        <v>104788</v>
      </c>
      <c r="E260" s="105" t="str">
        <f>IFERROR(VLOOKUP($D260,NUMDIST[],2,FALSE),"DA Non trouvéé")</f>
        <v>BUNIA - ETS DON DE DIEU</v>
      </c>
      <c r="F260" s="12" t="s">
        <v>262</v>
      </c>
      <c r="G260" s="14" t="s">
        <v>6</v>
      </c>
      <c r="H260" s="13">
        <v>258500</v>
      </c>
      <c r="I260" s="13">
        <v>0</v>
      </c>
      <c r="J260" s="12" t="s">
        <v>15</v>
      </c>
      <c r="K260" s="28"/>
    </row>
    <row r="261" spans="3:11" ht="15.5" thickTop="1" thickBot="1" x14ac:dyDescent="0.4">
      <c r="C261" s="51" t="s">
        <v>280</v>
      </c>
      <c r="D261" s="12">
        <v>90184</v>
      </c>
      <c r="E261" s="105" t="str">
        <f>IFERROR(VLOOKUP($D261,NUMDIST[],2,FALSE),"DA Non trouvéé")</f>
        <v>BUNIA - ETS MOISE MESO</v>
      </c>
      <c r="F261" s="12" t="s">
        <v>262</v>
      </c>
      <c r="G261" s="14" t="s">
        <v>6</v>
      </c>
      <c r="H261" s="13">
        <v>470000</v>
      </c>
      <c r="I261" s="13">
        <v>0</v>
      </c>
      <c r="J261" s="12" t="s">
        <v>15</v>
      </c>
      <c r="K261" s="28"/>
    </row>
    <row r="262" spans="3:11" ht="15.5" thickTop="1" thickBot="1" x14ac:dyDescent="0.4">
      <c r="C262" s="51" t="s">
        <v>280</v>
      </c>
      <c r="D262" s="12">
        <v>42153</v>
      </c>
      <c r="E262" s="105" t="str">
        <f>IFERROR(VLOOKUP($D262,NUMDIST[],2,FALSE),"DA Non trouvéé")</f>
        <v>BUNIA - ETS SALEM</v>
      </c>
      <c r="F262" s="12" t="s">
        <v>262</v>
      </c>
      <c r="G262" s="14" t="s">
        <v>4</v>
      </c>
      <c r="H262" s="13">
        <v>235000</v>
      </c>
      <c r="I262" s="13">
        <v>0</v>
      </c>
      <c r="J262" s="12" t="s">
        <v>254</v>
      </c>
      <c r="K262" s="28"/>
    </row>
    <row r="263" spans="3:11" ht="15.5" thickTop="1" thickBot="1" x14ac:dyDescent="0.4">
      <c r="C263" s="51" t="s">
        <v>280</v>
      </c>
      <c r="D263" s="12">
        <v>90134</v>
      </c>
      <c r="E263" s="105" t="str">
        <f>IFERROR(VLOOKUP($D263,NUMDIST[],2,FALSE),"DA Non trouvéé")</f>
        <v>KISANGANI - ETS SOLUTION PLUS</v>
      </c>
      <c r="F263" s="12" t="s">
        <v>262</v>
      </c>
      <c r="G263" s="14" t="s">
        <v>4</v>
      </c>
      <c r="H263" s="13">
        <v>300000</v>
      </c>
      <c r="I263" s="13">
        <v>0</v>
      </c>
      <c r="J263" s="12" t="s">
        <v>254</v>
      </c>
      <c r="K263" s="28"/>
    </row>
    <row r="264" spans="3:11" ht="15.5" thickTop="1" thickBot="1" x14ac:dyDescent="0.4">
      <c r="C264" s="51" t="s">
        <v>280</v>
      </c>
      <c r="D264" s="12">
        <v>104929</v>
      </c>
      <c r="E264" s="105" t="str">
        <f>IFERROR(VLOOKUP($D264,NUMDIST[],2,FALSE),"DA Non trouvéé")</f>
        <v>KISANGANI - THEODOR BUSINESS</v>
      </c>
      <c r="F264" s="12" t="s">
        <v>262</v>
      </c>
      <c r="G264" s="14" t="s">
        <v>4</v>
      </c>
      <c r="H264" s="13">
        <v>164500</v>
      </c>
      <c r="I264" s="13">
        <v>0</v>
      </c>
      <c r="J264" s="12" t="s">
        <v>254</v>
      </c>
      <c r="K264" s="28"/>
    </row>
    <row r="265" spans="3:11" ht="15.5" thickTop="1" thickBot="1" x14ac:dyDescent="0.4">
      <c r="C265" s="51" t="s">
        <v>280</v>
      </c>
      <c r="D265" s="12">
        <v>104875</v>
      </c>
      <c r="E265" s="105" t="str">
        <f>IFERROR(VLOOKUP($D265,NUMDIST[],2,FALSE),"DA Non trouvéé")</f>
        <v>BUNIA - MAISON ME DHELE</v>
      </c>
      <c r="F265" s="12" t="s">
        <v>262</v>
      </c>
      <c r="G265" s="14" t="s">
        <v>19</v>
      </c>
      <c r="H265" s="13">
        <v>235000</v>
      </c>
      <c r="I265" s="13">
        <v>0</v>
      </c>
      <c r="J265" s="12" t="s">
        <v>254</v>
      </c>
      <c r="K265" s="28"/>
    </row>
    <row r="266" spans="3:11" ht="15.5" thickTop="1" thickBot="1" x14ac:dyDescent="0.4">
      <c r="C266" s="51" t="s">
        <v>280</v>
      </c>
      <c r="D266" s="81">
        <v>108020</v>
      </c>
      <c r="E266" s="105" t="str">
        <f>IFERROR(VLOOKUP($D266,NUMDIST[],2,FALSE),"DA Non trouvéé")</f>
        <v>JPS GOMA SHOP GOSHEN</v>
      </c>
      <c r="F266" s="12" t="s">
        <v>262</v>
      </c>
      <c r="G266" s="14" t="s">
        <v>5</v>
      </c>
      <c r="H266" s="13">
        <v>235000</v>
      </c>
      <c r="I266" s="13">
        <v>0</v>
      </c>
      <c r="J266" s="12" t="s">
        <v>254</v>
      </c>
      <c r="K266" s="28"/>
    </row>
    <row r="267" spans="3:11" ht="15.5" thickTop="1" thickBot="1" x14ac:dyDescent="0.4">
      <c r="C267" s="51" t="s">
        <v>280</v>
      </c>
      <c r="D267" s="12">
        <v>55349</v>
      </c>
      <c r="E267" s="105" t="str">
        <f>IFERROR(VLOOKUP($D267,NUMDIST[],2,FALSE),"DA Non trouvéé")</f>
        <v>ISIRO - LES AMIS</v>
      </c>
      <c r="F267" s="12" t="s">
        <v>262</v>
      </c>
      <c r="G267" s="14" t="s">
        <v>7</v>
      </c>
      <c r="H267" s="13">
        <v>509950</v>
      </c>
      <c r="I267" s="13">
        <v>0</v>
      </c>
      <c r="J267" s="12" t="s">
        <v>254</v>
      </c>
      <c r="K267" s="28"/>
    </row>
    <row r="268" spans="3:11" ht="15.5" thickTop="1" thickBot="1" x14ac:dyDescent="0.4">
      <c r="C268" s="51" t="s">
        <v>280</v>
      </c>
      <c r="D268" s="12">
        <v>91404</v>
      </c>
      <c r="E268" s="105" t="str">
        <f>IFERROR(VLOOKUP($D268,NUMDIST[],2,FALSE),"DA Non trouvéé")</f>
        <v>GOMA - SHOP GOMA</v>
      </c>
      <c r="F268" s="12" t="s">
        <v>262</v>
      </c>
      <c r="G268" s="14" t="s">
        <v>5</v>
      </c>
      <c r="H268" s="13">
        <v>238525</v>
      </c>
      <c r="I268" s="13">
        <v>0</v>
      </c>
      <c r="J268" s="12" t="s">
        <v>254</v>
      </c>
      <c r="K268" s="28"/>
    </row>
    <row r="269" spans="3:11" ht="15.5" thickTop="1" thickBot="1" x14ac:dyDescent="0.4">
      <c r="C269" s="51" t="s">
        <v>280</v>
      </c>
      <c r="D269" s="12">
        <v>87503</v>
      </c>
      <c r="E269" s="105" t="str">
        <f>IFERROR(VLOOKUP($D269,NUMDIST[],2,FALSE),"DA Non trouvéé")</f>
        <v>BUKAVU - ETS DIEU EST GRAND</v>
      </c>
      <c r="F269" s="12" t="s">
        <v>262</v>
      </c>
      <c r="G269" s="14" t="s">
        <v>7</v>
      </c>
      <c r="H269" s="13">
        <v>470000</v>
      </c>
      <c r="I269" s="13">
        <v>0</v>
      </c>
      <c r="J269" s="12" t="s">
        <v>254</v>
      </c>
      <c r="K269" s="28"/>
    </row>
    <row r="270" spans="3:11" ht="15.5" thickTop="1" thickBot="1" x14ac:dyDescent="0.4">
      <c r="C270" s="51" t="s">
        <v>280</v>
      </c>
      <c r="D270" s="12">
        <v>103896</v>
      </c>
      <c r="E270" s="105" t="str">
        <f>IFERROR(VLOOKUP($D270,NUMDIST[],2,FALSE),"DA Non trouvéé")</f>
        <v>VAD JPS MAHAGI</v>
      </c>
      <c r="F270" s="12" t="s">
        <v>262</v>
      </c>
      <c r="G270" s="14" t="s">
        <v>4</v>
      </c>
      <c r="H270" s="13">
        <v>130000</v>
      </c>
      <c r="I270" s="13">
        <v>0</v>
      </c>
      <c r="J270" s="12" t="s">
        <v>254</v>
      </c>
      <c r="K270" s="28"/>
    </row>
    <row r="271" spans="3:11" ht="15.5" thickTop="1" thickBot="1" x14ac:dyDescent="0.4">
      <c r="C271" s="51" t="s">
        <v>280</v>
      </c>
      <c r="D271" s="12">
        <v>87500</v>
      </c>
      <c r="E271" s="105" t="str">
        <f>IFERROR(VLOOKUP($D271,NUMDIST[],2,FALSE),"DA Non trouvéé")</f>
        <v>BUNIA - ETS DIEU MERCI</v>
      </c>
      <c r="F271" s="12" t="s">
        <v>262</v>
      </c>
      <c r="G271" s="14" t="s">
        <v>19</v>
      </c>
      <c r="H271" s="13">
        <v>171000</v>
      </c>
      <c r="I271" s="13">
        <v>0</v>
      </c>
      <c r="J271" s="12" t="s">
        <v>254</v>
      </c>
      <c r="K271" s="28"/>
    </row>
    <row r="272" spans="3:11" ht="15.5" thickTop="1" thickBot="1" x14ac:dyDescent="0.4">
      <c r="C272" s="51" t="s">
        <v>280</v>
      </c>
      <c r="D272" s="12">
        <v>90141</v>
      </c>
      <c r="E272" s="105" t="str">
        <f>IFERROR(VLOOKUP($D272,NUMDIST[],2,FALSE),"DA Non trouvéé")</f>
        <v>GOMA - ETS SHOP ANUARITE</v>
      </c>
      <c r="F272" s="12" t="s">
        <v>262</v>
      </c>
      <c r="G272" s="14" t="s">
        <v>5</v>
      </c>
      <c r="H272" s="13">
        <v>230300</v>
      </c>
      <c r="I272" s="13">
        <v>0</v>
      </c>
      <c r="J272" s="12" t="s">
        <v>254</v>
      </c>
      <c r="K272" s="28"/>
    </row>
    <row r="273" spans="3:11" ht="15.5" thickTop="1" thickBot="1" x14ac:dyDescent="0.4">
      <c r="C273" s="51" t="s">
        <v>280</v>
      </c>
      <c r="D273" s="12">
        <v>91770</v>
      </c>
      <c r="E273" s="105" t="str">
        <f>IFERROR(VLOOKUP($D273,NUMDIST[],2,FALSE),"DA Non trouvéé")</f>
        <v>BUKAVU - MAISON JULIEN BS</v>
      </c>
      <c r="F273" s="12" t="s">
        <v>262</v>
      </c>
      <c r="G273" s="14" t="s">
        <v>7</v>
      </c>
      <c r="H273" s="13">
        <v>434750</v>
      </c>
      <c r="I273" s="13">
        <v>0</v>
      </c>
      <c r="J273" s="12" t="s">
        <v>254</v>
      </c>
      <c r="K273" s="28"/>
    </row>
    <row r="274" spans="3:11" ht="15.5" thickTop="1" thickBot="1" x14ac:dyDescent="0.4">
      <c r="C274" s="51" t="s">
        <v>280</v>
      </c>
      <c r="D274" s="12">
        <v>95820</v>
      </c>
      <c r="E274" s="105" t="str">
        <f>IFERROR(VLOOKUP($D274,NUMDIST[],2,FALSE),"DA Non trouvéé")</f>
        <v>MONGWALU - MAISON INTEMPORELLE</v>
      </c>
      <c r="F274" s="12" t="s">
        <v>262</v>
      </c>
      <c r="G274" s="14" t="s">
        <v>4</v>
      </c>
      <c r="H274" s="13">
        <v>250000</v>
      </c>
      <c r="I274" s="13">
        <v>0</v>
      </c>
      <c r="J274" s="12" t="s">
        <v>254</v>
      </c>
      <c r="K274" s="28"/>
    </row>
    <row r="275" spans="3:11" ht="15.5" thickTop="1" thickBot="1" x14ac:dyDescent="0.4">
      <c r="C275" s="51" t="s">
        <v>280</v>
      </c>
      <c r="D275" s="12">
        <v>90146</v>
      </c>
      <c r="E275" s="105" t="str">
        <f>IFERROR(VLOOKUP($D275,NUMDIST[],2,FALSE),"DA Non trouvéé")</f>
        <v>GOMA - ETS VICTOR SARLU</v>
      </c>
      <c r="F275" s="12" t="s">
        <v>262</v>
      </c>
      <c r="G275" s="14" t="s">
        <v>5</v>
      </c>
      <c r="H275" s="13">
        <v>235000</v>
      </c>
      <c r="I275" s="13">
        <v>0</v>
      </c>
      <c r="J275" s="12" t="s">
        <v>254</v>
      </c>
      <c r="K275" s="28"/>
    </row>
    <row r="276" spans="3:11" ht="15.5" thickTop="1" thickBot="1" x14ac:dyDescent="0.4">
      <c r="C276" s="51" t="s">
        <v>280</v>
      </c>
      <c r="D276" s="12">
        <v>95823</v>
      </c>
      <c r="E276" s="105" t="str">
        <f>IFERROR(VLOOKUP($D276,NUMDIST[],2,FALSE),"DA Non trouvéé")</f>
        <v>BUNIA - ETS CANAL BIA</v>
      </c>
      <c r="F276" s="12" t="s">
        <v>262</v>
      </c>
      <c r="G276" s="14" t="s">
        <v>6</v>
      </c>
      <c r="H276" s="13">
        <v>235000</v>
      </c>
      <c r="I276" s="13">
        <v>0</v>
      </c>
      <c r="J276" s="12" t="s">
        <v>15</v>
      </c>
      <c r="K276" s="28"/>
    </row>
    <row r="277" spans="3:11" ht="15.5" thickTop="1" thickBot="1" x14ac:dyDescent="0.4">
      <c r="C277" s="51" t="s">
        <v>280</v>
      </c>
      <c r="D277" s="12">
        <v>36433</v>
      </c>
      <c r="E277" s="105" t="str">
        <f>IFERROR(VLOOKUP($D277,NUMDIST[],2,FALSE),"DA Non trouvéé")</f>
        <v>BUNIA - CHEZ JUSTIN</v>
      </c>
      <c r="F277" s="12" t="s">
        <v>262</v>
      </c>
      <c r="G277" s="14" t="s">
        <v>7</v>
      </c>
      <c r="H277" s="13">
        <v>1175000</v>
      </c>
      <c r="I277" s="13">
        <v>0</v>
      </c>
      <c r="J277" s="12" t="s">
        <v>254</v>
      </c>
      <c r="K277" s="28"/>
    </row>
    <row r="278" spans="3:11" ht="15.5" thickTop="1" thickBot="1" x14ac:dyDescent="0.4">
      <c r="C278" s="51" t="s">
        <v>280</v>
      </c>
      <c r="D278" s="12">
        <v>92119</v>
      </c>
      <c r="E278" s="105" t="str">
        <f>IFERROR(VLOOKUP($D278,NUMDIST[],2,FALSE),"DA Non trouvéé")</f>
        <v>ISIRO - HADASSA BUSINESS</v>
      </c>
      <c r="F278" s="12" t="s">
        <v>262</v>
      </c>
      <c r="G278" s="14" t="s">
        <v>7</v>
      </c>
      <c r="H278" s="13">
        <v>470000</v>
      </c>
      <c r="I278" s="13">
        <v>0</v>
      </c>
      <c r="J278" s="12" t="s">
        <v>254</v>
      </c>
      <c r="K278" s="28"/>
    </row>
    <row r="279" spans="3:11" ht="15.5" thickTop="1" thickBot="1" x14ac:dyDescent="0.4">
      <c r="C279" s="51" t="s">
        <v>280</v>
      </c>
      <c r="D279" s="12">
        <v>103980</v>
      </c>
      <c r="E279" s="105" t="str">
        <f>IFERROR(VLOOKUP($D279,NUMDIST[],2,FALSE),"DA Non trouvéé")</f>
        <v>ETABLISSEMENT GABRIELLA</v>
      </c>
      <c r="F279" s="12" t="s">
        <v>262</v>
      </c>
      <c r="G279" s="14" t="s">
        <v>5</v>
      </c>
      <c r="H279" s="13">
        <v>117500</v>
      </c>
      <c r="I279" s="13">
        <v>0</v>
      </c>
      <c r="J279" s="12" t="s">
        <v>254</v>
      </c>
      <c r="K279" s="28"/>
    </row>
    <row r="280" spans="3:11" ht="15.5" thickTop="1" thickBot="1" x14ac:dyDescent="0.4">
      <c r="C280" s="51" t="s">
        <v>280</v>
      </c>
      <c r="D280" s="12">
        <v>36430</v>
      </c>
      <c r="E280" s="105" t="str">
        <f>IFERROR(VLOOKUP($D280,NUMDIST[],2,FALSE),"DA Non trouvéé")</f>
        <v>Bunia - ETS BOTOAFINE</v>
      </c>
      <c r="F280" s="12" t="s">
        <v>262</v>
      </c>
      <c r="G280" s="14" t="s">
        <v>19</v>
      </c>
      <c r="H280" s="13">
        <v>164500</v>
      </c>
      <c r="I280" s="13">
        <v>0</v>
      </c>
      <c r="J280" s="12" t="s">
        <v>254</v>
      </c>
      <c r="K280" s="28"/>
    </row>
    <row r="281" spans="3:11" ht="15.5" thickTop="1" thickBot="1" x14ac:dyDescent="0.4">
      <c r="C281" s="51" t="s">
        <v>280</v>
      </c>
      <c r="D281" s="12">
        <v>104189</v>
      </c>
      <c r="E281" s="105" t="str">
        <f>IFERROR(VLOOKUP($D281,NUMDIST[],2,FALSE),"DA Non trouvéé")</f>
        <v>KIVU - PILIPILI GROUP</v>
      </c>
      <c r="F281" s="12" t="s">
        <v>262</v>
      </c>
      <c r="G281" s="14" t="s">
        <v>5</v>
      </c>
      <c r="H281" s="13">
        <v>249100</v>
      </c>
      <c r="I281" s="13">
        <v>0</v>
      </c>
      <c r="J281" s="12" t="s">
        <v>254</v>
      </c>
      <c r="K281" s="28"/>
    </row>
    <row r="282" spans="3:11" ht="15.5" thickTop="1" thickBot="1" x14ac:dyDescent="0.4">
      <c r="C282" s="51" t="s">
        <v>280</v>
      </c>
      <c r="D282" s="12">
        <v>42153</v>
      </c>
      <c r="E282" s="105" t="str">
        <f>IFERROR(VLOOKUP($D282,NUMDIST[],2,FALSE),"DA Non trouvéé")</f>
        <v>BUNIA - ETS SALEM</v>
      </c>
      <c r="F282" s="12" t="s">
        <v>262</v>
      </c>
      <c r="G282" s="14" t="s">
        <v>4</v>
      </c>
      <c r="H282" s="13">
        <v>293750</v>
      </c>
      <c r="I282" s="13">
        <v>0</v>
      </c>
      <c r="J282" s="12" t="s">
        <v>254</v>
      </c>
      <c r="K282" s="28"/>
    </row>
    <row r="283" spans="3:11" ht="15.5" thickTop="1" thickBot="1" x14ac:dyDescent="0.4">
      <c r="C283" s="51" t="s">
        <v>280</v>
      </c>
      <c r="D283" s="12">
        <v>106304</v>
      </c>
      <c r="E283" s="105" t="str">
        <f>IFERROR(VLOOKUP($D283,NUMDIST[],2,FALSE),"DA Non trouvéé")</f>
        <v>NORD KIVU - PRINCE BUSINESS</v>
      </c>
      <c r="F283" s="12" t="s">
        <v>262</v>
      </c>
      <c r="G283" s="14" t="s">
        <v>5</v>
      </c>
      <c r="H283" s="13">
        <v>235000</v>
      </c>
      <c r="I283" s="13">
        <v>0</v>
      </c>
      <c r="J283" s="12" t="s">
        <v>254</v>
      </c>
      <c r="K283" s="28"/>
    </row>
    <row r="284" spans="3:11" ht="15.5" thickTop="1" thickBot="1" x14ac:dyDescent="0.4">
      <c r="C284" s="51" t="s">
        <v>280</v>
      </c>
      <c r="D284" s="12">
        <v>90176</v>
      </c>
      <c r="E284" s="105" t="str">
        <f>IFERROR(VLOOKUP($D284,NUMDIST[],2,FALSE),"DA Non trouvéé")</f>
        <v>BUNIA - SHOP MATATA</v>
      </c>
      <c r="F284" s="12" t="s">
        <v>262</v>
      </c>
      <c r="G284" s="14" t="s">
        <v>7</v>
      </c>
      <c r="H284" s="13">
        <v>470000</v>
      </c>
      <c r="I284" s="13">
        <v>0</v>
      </c>
      <c r="J284" s="12" t="s">
        <v>254</v>
      </c>
      <c r="K284" s="28"/>
    </row>
    <row r="285" spans="3:11" ht="15.5" thickTop="1" thickBot="1" x14ac:dyDescent="0.4">
      <c r="C285" s="51" t="s">
        <v>280</v>
      </c>
      <c r="D285" s="12">
        <v>99337</v>
      </c>
      <c r="E285" s="105" t="str">
        <f>IFERROR(VLOOKUP($D285,NUMDIST[],2,FALSE),"DA Non trouvéé")</f>
        <v>ISIRO - SHOP CHARA HOUSE</v>
      </c>
      <c r="F285" s="12" t="s">
        <v>262</v>
      </c>
      <c r="G285" s="14" t="s">
        <v>7</v>
      </c>
      <c r="H285" s="13">
        <v>1985750</v>
      </c>
      <c r="I285" s="13">
        <v>0</v>
      </c>
      <c r="J285" s="12" t="s">
        <v>254</v>
      </c>
      <c r="K285" s="28"/>
    </row>
    <row r="286" spans="3:11" ht="15.5" thickTop="1" thickBot="1" x14ac:dyDescent="0.4">
      <c r="C286" s="51" t="s">
        <v>280</v>
      </c>
      <c r="D286" s="12">
        <v>36431</v>
      </c>
      <c r="E286" s="105" t="str">
        <f>IFERROR(VLOOKUP($D286,NUMDIST[],2,FALSE),"DA Non trouvéé")</f>
        <v>Isiro - MACAMPAGNE</v>
      </c>
      <c r="F286" s="12" t="s">
        <v>262</v>
      </c>
      <c r="G286" s="14" t="s">
        <v>7</v>
      </c>
      <c r="H286" s="13">
        <v>540500</v>
      </c>
      <c r="I286" s="13">
        <v>0</v>
      </c>
      <c r="J286" s="12" t="s">
        <v>254</v>
      </c>
      <c r="K286" s="28"/>
    </row>
    <row r="287" spans="3:11" ht="15.5" thickTop="1" thickBot="1" x14ac:dyDescent="0.4">
      <c r="C287" s="51" t="s">
        <v>280</v>
      </c>
      <c r="D287" s="12">
        <v>36710</v>
      </c>
      <c r="E287" s="105" t="str">
        <f>IFERROR(VLOOKUP($D287,NUMDIST[],2,FALSE),"DA Non trouvéé")</f>
        <v>BUNIA - BOUTIQUE JPS DM</v>
      </c>
      <c r="F287" s="12" t="s">
        <v>262</v>
      </c>
      <c r="G287" s="14" t="s">
        <v>19</v>
      </c>
      <c r="H287" s="13">
        <v>3679600</v>
      </c>
      <c r="I287" s="13">
        <v>0</v>
      </c>
      <c r="J287" s="12" t="s">
        <v>254</v>
      </c>
      <c r="K287" s="28"/>
    </row>
    <row r="288" spans="3:11" ht="15.5" thickTop="1" thickBot="1" x14ac:dyDescent="0.4">
      <c r="C288" s="51" t="s">
        <v>280</v>
      </c>
      <c r="D288" s="12">
        <v>55350</v>
      </c>
      <c r="E288" s="105" t="str">
        <f>IFERROR(VLOOKUP($D288,NUMDIST[],2,FALSE),"DA Non trouvéé")</f>
        <v>OICHA - CLINIQUE ORDINATEURS</v>
      </c>
      <c r="F288" s="12" t="s">
        <v>262</v>
      </c>
      <c r="G288" s="14" t="s">
        <v>5</v>
      </c>
      <c r="H288" s="13">
        <v>305500</v>
      </c>
      <c r="I288" s="13">
        <v>0</v>
      </c>
      <c r="J288" s="12" t="s">
        <v>254</v>
      </c>
      <c r="K288" s="28"/>
    </row>
    <row r="289" spans="3:11" ht="15.5" thickTop="1" thickBot="1" x14ac:dyDescent="0.4">
      <c r="C289" s="51" t="s">
        <v>280</v>
      </c>
      <c r="D289" s="12">
        <v>85827</v>
      </c>
      <c r="E289" s="105" t="str">
        <f>IFERROR(VLOOKUP($D289,NUMDIST[],2,FALSE),"DA Non trouvéé")</f>
        <v>KISANGANI - SHOP LA GRACE</v>
      </c>
      <c r="F289" s="12" t="s">
        <v>262</v>
      </c>
      <c r="G289" s="14" t="s">
        <v>4</v>
      </c>
      <c r="H289" s="13">
        <v>752000</v>
      </c>
      <c r="I289" s="13">
        <v>0</v>
      </c>
      <c r="J289" s="12" t="s">
        <v>254</v>
      </c>
      <c r="K289" s="28"/>
    </row>
    <row r="290" spans="3:11" ht="15.5" thickTop="1" thickBot="1" x14ac:dyDescent="0.4">
      <c r="C290" s="51" t="s">
        <v>280</v>
      </c>
      <c r="D290" s="12">
        <v>95817</v>
      </c>
      <c r="E290" s="105" t="str">
        <f>IFERROR(VLOOKUP($D290,NUMDIST[],2,FALSE),"DA Non trouvéé")</f>
        <v>BUNIA - YESU NI JIBU</v>
      </c>
      <c r="F290" s="12" t="s">
        <v>262</v>
      </c>
      <c r="G290" s="14" t="s">
        <v>6</v>
      </c>
      <c r="H290" s="13">
        <v>235000</v>
      </c>
      <c r="I290" s="13">
        <v>0</v>
      </c>
      <c r="J290" s="12" t="s">
        <v>15</v>
      </c>
      <c r="K290" s="28"/>
    </row>
    <row r="291" spans="3:11" ht="15.5" thickTop="1" thickBot="1" x14ac:dyDescent="0.4">
      <c r="C291" s="51" t="s">
        <v>280</v>
      </c>
      <c r="D291" s="12">
        <v>34597</v>
      </c>
      <c r="E291" s="105" t="str">
        <f>IFERROR(VLOOKUP($D291,NUMDIST[],2,FALSE),"DA Non trouvéé")</f>
        <v>ETABLISSEMENT-  JPS DM BIGO</v>
      </c>
      <c r="F291" s="12" t="s">
        <v>262</v>
      </c>
      <c r="G291" s="14" t="s">
        <v>7</v>
      </c>
      <c r="H291" s="13">
        <v>1104500</v>
      </c>
      <c r="I291" s="13">
        <v>0</v>
      </c>
      <c r="J291" s="12" t="s">
        <v>254</v>
      </c>
      <c r="K291" s="28"/>
    </row>
    <row r="292" spans="3:11" ht="15.5" thickTop="1" thickBot="1" x14ac:dyDescent="0.4">
      <c r="C292" s="51" t="s">
        <v>280</v>
      </c>
      <c r="D292" s="12">
        <v>107116</v>
      </c>
      <c r="E292" s="105" t="str">
        <f>IFERROR(VLOOKUP($D292,NUMDIST[],2,FALSE),"DA Non trouvéé")</f>
        <v>SKT - SARAMBWE TRANSFERT</v>
      </c>
      <c r="F292" s="12" t="s">
        <v>262</v>
      </c>
      <c r="G292" s="14" t="s">
        <v>7</v>
      </c>
      <c r="H292" s="13">
        <v>235000</v>
      </c>
      <c r="I292" s="13">
        <v>0</v>
      </c>
      <c r="J292" s="12" t="s">
        <v>254</v>
      </c>
      <c r="K292" s="28"/>
    </row>
    <row r="293" spans="3:11" ht="15.5" thickTop="1" thickBot="1" x14ac:dyDescent="0.4">
      <c r="C293" s="51" t="s">
        <v>280</v>
      </c>
      <c r="D293" s="12">
        <v>36272</v>
      </c>
      <c r="E293" s="105" t="str">
        <f>IFERROR(VLOOKUP($D293,NUMDIST[],2,FALSE),"DA Non trouvéé")</f>
        <v>BUNIA - JPS DM</v>
      </c>
      <c r="F293" s="12" t="s">
        <v>273</v>
      </c>
      <c r="G293" s="14" t="s">
        <v>7</v>
      </c>
      <c r="H293" s="13">
        <v>0</v>
      </c>
      <c r="I293" s="13">
        <v>70500000</v>
      </c>
      <c r="J293" s="12" t="s">
        <v>254</v>
      </c>
      <c r="K293" s="28"/>
    </row>
    <row r="294" spans="3:11" ht="15.5" thickTop="1" thickBot="1" x14ac:dyDescent="0.4">
      <c r="C294" s="51">
        <v>46211</v>
      </c>
      <c r="D294" s="12">
        <v>36272</v>
      </c>
      <c r="E294" s="105" t="str">
        <f>IFERROR(VLOOKUP($D294,NUMDIST[],2,FALSE),"DA Non trouvéé")</f>
        <v>BUNIA - JPS DM</v>
      </c>
      <c r="F294" s="12" t="s">
        <v>282</v>
      </c>
      <c r="G294" s="14" t="s">
        <v>7</v>
      </c>
      <c r="H294" s="13">
        <v>31565601</v>
      </c>
      <c r="I294" s="13"/>
      <c r="J294" s="12"/>
      <c r="K294" s="28"/>
    </row>
    <row r="295" spans="3:11" ht="15.5" thickTop="1" thickBot="1" x14ac:dyDescent="0.4">
      <c r="C295" s="51" t="s">
        <v>281</v>
      </c>
      <c r="D295" s="12">
        <v>36272</v>
      </c>
      <c r="E295" s="105" t="str">
        <f>IFERROR(VLOOKUP($D295,NUMDIST[],2,FALSE),"DA Non trouvéé")</f>
        <v>BUNIA - JPS DM</v>
      </c>
      <c r="F295" s="12" t="s">
        <v>283</v>
      </c>
      <c r="G295" s="14" t="s">
        <v>7</v>
      </c>
      <c r="H295" s="13">
        <v>0</v>
      </c>
      <c r="I295" s="13">
        <v>69626</v>
      </c>
      <c r="J295" s="12"/>
      <c r="K295" s="28"/>
    </row>
    <row r="296" spans="3:11" ht="15.5" thickTop="1" thickBot="1" x14ac:dyDescent="0.4">
      <c r="C296" s="51" t="s">
        <v>281</v>
      </c>
      <c r="D296" s="12">
        <v>71087</v>
      </c>
      <c r="E296" s="105" t="str">
        <f>IFERROR(VLOOKUP($D296,NUMDIST[],2,FALSE),"DA Non trouvéé")</f>
        <v>ETS CALIFORNIE</v>
      </c>
      <c r="F296" s="12" t="s">
        <v>262</v>
      </c>
      <c r="G296" s="14" t="s">
        <v>19</v>
      </c>
      <c r="H296" s="13">
        <v>470000</v>
      </c>
      <c r="I296" s="13">
        <v>0</v>
      </c>
      <c r="J296" s="12"/>
      <c r="K296" s="28"/>
    </row>
    <row r="297" spans="3:11" ht="15.5" thickTop="1" thickBot="1" x14ac:dyDescent="0.4">
      <c r="C297" s="51" t="s">
        <v>281</v>
      </c>
      <c r="D297" s="12">
        <v>34597</v>
      </c>
      <c r="E297" s="105" t="str">
        <f>IFERROR(VLOOKUP($D297,NUMDIST[],2,FALSE),"DA Non trouvéé")</f>
        <v>ETABLISSEMENT-  JPS DM BIGO</v>
      </c>
      <c r="F297" s="12" t="s">
        <v>262</v>
      </c>
      <c r="G297" s="14" t="s">
        <v>7</v>
      </c>
      <c r="H297" s="13">
        <v>956500</v>
      </c>
      <c r="I297" s="13">
        <v>0</v>
      </c>
      <c r="J297" s="12"/>
      <c r="K297" s="28"/>
    </row>
    <row r="298" spans="3:11" ht="15.5" thickTop="1" thickBot="1" x14ac:dyDescent="0.4">
      <c r="C298" s="51" t="s">
        <v>281</v>
      </c>
      <c r="D298" s="12">
        <v>36710</v>
      </c>
      <c r="E298" s="105" t="str">
        <f>IFERROR(VLOOKUP($D298,NUMDIST[],2,FALSE),"DA Non trouvéé")</f>
        <v>BUNIA - BOUTIQUE JPS DM</v>
      </c>
      <c r="F298" s="12" t="s">
        <v>262</v>
      </c>
      <c r="G298" s="14" t="s">
        <v>19</v>
      </c>
      <c r="H298" s="13">
        <v>3056700</v>
      </c>
      <c r="I298" s="13">
        <v>0</v>
      </c>
      <c r="J298" s="12"/>
      <c r="K298" s="28"/>
    </row>
    <row r="299" spans="3:11" ht="15.5" thickTop="1" thickBot="1" x14ac:dyDescent="0.4">
      <c r="C299" s="51" t="s">
        <v>281</v>
      </c>
      <c r="D299" s="12">
        <v>90164</v>
      </c>
      <c r="E299" s="105" t="str">
        <f>IFERROR(VLOOKUP($D299,NUMDIST[],2,FALSE),"DA Non trouvéé")</f>
        <v>BUNIA - ALPHA SHOP</v>
      </c>
      <c r="F299" s="12" t="s">
        <v>262</v>
      </c>
      <c r="G299" s="14" t="s">
        <v>7</v>
      </c>
      <c r="H299" s="13">
        <v>470000</v>
      </c>
      <c r="I299" s="13">
        <v>0</v>
      </c>
      <c r="J299" s="12"/>
      <c r="K299" s="28"/>
    </row>
    <row r="300" spans="3:11" ht="15.5" thickTop="1" thickBot="1" x14ac:dyDescent="0.4">
      <c r="C300" s="51" t="s">
        <v>281</v>
      </c>
      <c r="D300" s="12">
        <v>102554</v>
      </c>
      <c r="E300" s="105" t="str">
        <f>IFERROR(VLOOKUP($D300,NUMDIST[],2,FALSE),"DA Non trouvéé")</f>
        <v>KANYASI - ZITONO SHOP</v>
      </c>
      <c r="F300" s="12" t="s">
        <v>262</v>
      </c>
      <c r="G300" s="14" t="s">
        <v>19</v>
      </c>
      <c r="H300" s="13">
        <v>235000</v>
      </c>
      <c r="I300" s="13">
        <v>0</v>
      </c>
      <c r="J300" s="12"/>
      <c r="K300" s="28"/>
    </row>
    <row r="301" spans="3:11" ht="15.5" thickTop="1" thickBot="1" x14ac:dyDescent="0.4">
      <c r="C301" s="51" t="s">
        <v>281</v>
      </c>
      <c r="D301" s="12">
        <v>104190</v>
      </c>
      <c r="E301" s="105" t="str">
        <f>IFERROR(VLOOKUP($D301,NUMDIST[],2,FALSE),"DA Non trouvéé")</f>
        <v>NYAWERA CANAL SHOP</v>
      </c>
      <c r="F301" s="12" t="s">
        <v>262</v>
      </c>
      <c r="G301" s="14" t="s">
        <v>4</v>
      </c>
      <c r="H301" s="13">
        <v>250000</v>
      </c>
      <c r="I301" s="13">
        <v>0</v>
      </c>
      <c r="J301" s="12"/>
      <c r="K301" s="28"/>
    </row>
    <row r="302" spans="3:11" ht="15.5" thickTop="1" thickBot="1" x14ac:dyDescent="0.4">
      <c r="C302" s="51" t="s">
        <v>281</v>
      </c>
      <c r="D302" s="12">
        <v>85186</v>
      </c>
      <c r="E302" s="105" t="str">
        <f>IFERROR(VLOOKUP($D302,NUMDIST[],2,FALSE),"DA Non trouvéé")</f>
        <v>BUNIA - PKANDROMA SHOP SAMS</v>
      </c>
      <c r="F302" s="12" t="s">
        <v>262</v>
      </c>
      <c r="G302" s="14" t="s">
        <v>19</v>
      </c>
      <c r="H302" s="13">
        <v>470000</v>
      </c>
      <c r="I302" s="13">
        <v>0</v>
      </c>
      <c r="J302" s="12"/>
      <c r="K302" s="28"/>
    </row>
    <row r="303" spans="3:11" ht="15.5" thickTop="1" thickBot="1" x14ac:dyDescent="0.4">
      <c r="C303" s="51" t="s">
        <v>281</v>
      </c>
      <c r="D303" s="12">
        <v>36433</v>
      </c>
      <c r="E303" s="105" t="str">
        <f>IFERROR(VLOOKUP($D303,NUMDIST[],2,FALSE),"DA Non trouvéé")</f>
        <v>BUNIA - CHEZ JUSTIN</v>
      </c>
      <c r="F303" s="12" t="s">
        <v>262</v>
      </c>
      <c r="G303" s="14" t="s">
        <v>7</v>
      </c>
      <c r="H303" s="13">
        <v>1175000</v>
      </c>
      <c r="I303" s="13">
        <v>0</v>
      </c>
      <c r="J303" s="12"/>
      <c r="K303" s="28"/>
    </row>
    <row r="304" spans="3:11" ht="15.5" thickTop="1" thickBot="1" x14ac:dyDescent="0.4">
      <c r="C304" s="51" t="s">
        <v>281</v>
      </c>
      <c r="D304" s="12">
        <v>55350</v>
      </c>
      <c r="E304" s="105" t="str">
        <f>IFERROR(VLOOKUP($D304,NUMDIST[],2,FALSE),"DA Non trouvéé")</f>
        <v>OICHA - CLINIQUE ORDINATEURS</v>
      </c>
      <c r="F304" s="12" t="s">
        <v>262</v>
      </c>
      <c r="G304" s="14" t="s">
        <v>5</v>
      </c>
      <c r="H304" s="13">
        <v>235000</v>
      </c>
      <c r="I304" s="13">
        <v>0</v>
      </c>
      <c r="J304" s="12"/>
      <c r="K304" s="28"/>
    </row>
    <row r="305" spans="3:11" ht="15.5" thickTop="1" thickBot="1" x14ac:dyDescent="0.4">
      <c r="C305" s="51" t="s">
        <v>281</v>
      </c>
      <c r="D305" s="12">
        <v>92117</v>
      </c>
      <c r="E305" s="105" t="str">
        <f>IFERROR(VLOOKUP($D305,NUMDIST[],2,FALSE),"DA Non trouvéé")</f>
        <v>KISANGANI - STAFF FLORY</v>
      </c>
      <c r="F305" s="12" t="s">
        <v>262</v>
      </c>
      <c r="G305" s="14" t="s">
        <v>7</v>
      </c>
      <c r="H305" s="13">
        <v>1645000</v>
      </c>
      <c r="I305" s="13">
        <v>0</v>
      </c>
      <c r="J305" s="12"/>
      <c r="K305" s="28"/>
    </row>
    <row r="306" spans="3:11" ht="15.5" thickTop="1" thickBot="1" x14ac:dyDescent="0.4">
      <c r="C306" s="51" t="s">
        <v>281</v>
      </c>
      <c r="D306" s="12">
        <v>85837</v>
      </c>
      <c r="E306" s="105" t="str">
        <f>IFERROR(VLOOKUP($D306,NUMDIST[],2,FALSE),"DA Non trouvéé")</f>
        <v>BENI - SHOP ESPERANCE</v>
      </c>
      <c r="F306" s="12" t="s">
        <v>262</v>
      </c>
      <c r="G306" s="14" t="s">
        <v>6</v>
      </c>
      <c r="H306" s="13">
        <v>470000</v>
      </c>
      <c r="I306" s="13">
        <v>0</v>
      </c>
      <c r="J306" s="12"/>
      <c r="K306" s="28"/>
    </row>
    <row r="307" spans="3:11" ht="15.5" thickTop="1" thickBot="1" x14ac:dyDescent="0.4">
      <c r="C307" s="51" t="s">
        <v>281</v>
      </c>
      <c r="D307" s="12">
        <v>85827</v>
      </c>
      <c r="E307" s="105" t="str">
        <f>IFERROR(VLOOKUP($D307,NUMDIST[],2,FALSE),"DA Non trouvéé")</f>
        <v>KISANGANI - SHOP LA GRACE</v>
      </c>
      <c r="F307" s="12" t="s">
        <v>262</v>
      </c>
      <c r="G307" s="14" t="s">
        <v>4</v>
      </c>
      <c r="H307" s="13">
        <v>470000</v>
      </c>
      <c r="I307" s="13">
        <v>0</v>
      </c>
      <c r="J307" s="12"/>
      <c r="K307" s="28"/>
    </row>
    <row r="308" spans="3:11" ht="15.5" thickTop="1" thickBot="1" x14ac:dyDescent="0.4">
      <c r="C308" s="51" t="s">
        <v>281</v>
      </c>
      <c r="D308" s="12">
        <v>85814</v>
      </c>
      <c r="E308" s="105" t="str">
        <f>IFERROR(VLOOKUP($D308,NUMDIST[],2,FALSE),"DA Non trouvéé")</f>
        <v>BUNIA - DIMA NET</v>
      </c>
      <c r="F308" s="12" t="s">
        <v>262</v>
      </c>
      <c r="G308" s="14" t="s">
        <v>19</v>
      </c>
      <c r="H308" s="13">
        <v>235000</v>
      </c>
      <c r="I308" s="13">
        <v>0</v>
      </c>
      <c r="J308" s="12"/>
      <c r="K308" s="28"/>
    </row>
    <row r="309" spans="3:11" ht="15.5" thickTop="1" thickBot="1" x14ac:dyDescent="0.4">
      <c r="C309" s="51" t="s">
        <v>281</v>
      </c>
      <c r="D309" s="12">
        <v>93942</v>
      </c>
      <c r="E309" s="105" t="str">
        <f>IFERROR(VLOOKUP($D309,NUMDIST[],2,FALSE),"DA Non trouvéé")</f>
        <v>BUNIA - ETS SAIDI</v>
      </c>
      <c r="F309" s="12" t="s">
        <v>262</v>
      </c>
      <c r="G309" s="14" t="s">
        <v>6</v>
      </c>
      <c r="H309" s="13">
        <v>470000</v>
      </c>
      <c r="I309" s="13">
        <v>0</v>
      </c>
      <c r="J309" s="12"/>
      <c r="K309" s="28"/>
    </row>
    <row r="310" spans="3:11" ht="15.5" thickTop="1" thickBot="1" x14ac:dyDescent="0.4">
      <c r="C310" s="51" t="s">
        <v>281</v>
      </c>
      <c r="D310" s="12">
        <v>104190</v>
      </c>
      <c r="E310" s="105" t="str">
        <f>IFERROR(VLOOKUP($D310,NUMDIST[],2,FALSE),"DA Non trouvéé")</f>
        <v>NYAWERA CANAL SHOP</v>
      </c>
      <c r="F310" s="12" t="s">
        <v>262</v>
      </c>
      <c r="G310" s="14" t="s">
        <v>5</v>
      </c>
      <c r="H310" s="13">
        <v>2250000</v>
      </c>
      <c r="I310" s="13">
        <v>0</v>
      </c>
      <c r="J310" s="12"/>
      <c r="K310" s="28"/>
    </row>
    <row r="311" spans="3:11" ht="15.5" thickTop="1" thickBot="1" x14ac:dyDescent="0.4">
      <c r="C311" s="51" t="s">
        <v>281</v>
      </c>
      <c r="D311" s="12">
        <v>92663</v>
      </c>
      <c r="E311" s="105" t="str">
        <f>IFERROR(VLOOKUP($D311,NUMDIST[],2,FALSE),"DA Non trouvéé")</f>
        <v>KISANGANI - SHOP MIRADI</v>
      </c>
      <c r="F311" s="12" t="s">
        <v>262</v>
      </c>
      <c r="G311" s="14" t="s">
        <v>7</v>
      </c>
      <c r="H311" s="13">
        <v>235000</v>
      </c>
      <c r="I311" s="13">
        <v>0</v>
      </c>
      <c r="J311" s="12"/>
      <c r="K311" s="28"/>
    </row>
    <row r="312" spans="3:11" ht="15.5" thickTop="1" thickBot="1" x14ac:dyDescent="0.4">
      <c r="C312" s="51" t="s">
        <v>281</v>
      </c>
      <c r="D312" s="12">
        <v>36430</v>
      </c>
      <c r="E312" s="105" t="str">
        <f>IFERROR(VLOOKUP($D312,NUMDIST[],2,FALSE),"DA Non trouvéé")</f>
        <v>Bunia - ETS BOTOAFINE</v>
      </c>
      <c r="F312" s="12" t="s">
        <v>262</v>
      </c>
      <c r="G312" s="14" t="s">
        <v>6</v>
      </c>
      <c r="H312" s="13">
        <v>235000</v>
      </c>
      <c r="I312" s="13">
        <v>0</v>
      </c>
      <c r="J312" s="12"/>
      <c r="K312" s="28"/>
    </row>
    <row r="313" spans="3:11" ht="15.5" thickTop="1" thickBot="1" x14ac:dyDescent="0.4">
      <c r="C313" s="51" t="s">
        <v>281</v>
      </c>
      <c r="D313" s="12">
        <v>99337</v>
      </c>
      <c r="E313" s="105" t="str">
        <f>IFERROR(VLOOKUP($D313,NUMDIST[],2,FALSE),"DA Non trouvéé")</f>
        <v>ISIRO - SHOP CHARA HOUSE</v>
      </c>
      <c r="F313" s="12" t="s">
        <v>262</v>
      </c>
      <c r="G313" s="14" t="s">
        <v>7</v>
      </c>
      <c r="H313" s="13">
        <v>674450</v>
      </c>
      <c r="I313" s="13">
        <v>0</v>
      </c>
      <c r="J313" s="12"/>
      <c r="K313" s="28"/>
    </row>
    <row r="314" spans="3:11" ht="15.5" thickTop="1" thickBot="1" x14ac:dyDescent="0.4">
      <c r="C314" s="51" t="s">
        <v>284</v>
      </c>
      <c r="D314" s="12">
        <v>95817</v>
      </c>
      <c r="E314" s="105" t="str">
        <f>IFERROR(VLOOKUP($D314,NUMDIST[],2,FALSE),"DA Non trouvéé")</f>
        <v>BUNIA - YESU NI JIBU</v>
      </c>
      <c r="F314" s="12" t="s">
        <v>262</v>
      </c>
      <c r="G314" s="14" t="s">
        <v>19</v>
      </c>
      <c r="H314" s="13">
        <v>235000</v>
      </c>
      <c r="I314" s="13">
        <v>0</v>
      </c>
      <c r="J314" s="12" t="s">
        <v>254</v>
      </c>
      <c r="K314" s="28" t="s">
        <v>263</v>
      </c>
    </row>
    <row r="315" spans="3:11" ht="15.5" thickTop="1" thickBot="1" x14ac:dyDescent="0.4">
      <c r="C315" s="51" t="s">
        <v>284</v>
      </c>
      <c r="D315" s="12">
        <v>90174</v>
      </c>
      <c r="E315" s="105" t="str">
        <f>IFERROR(VLOOKUP($D315,NUMDIST[],2,FALSE),"DA Non trouvéé")</f>
        <v>MAHAGI - ETS JACQUES PLUS</v>
      </c>
      <c r="F315" s="12" t="s">
        <v>262</v>
      </c>
      <c r="G315" s="14" t="s">
        <v>4</v>
      </c>
      <c r="H315" s="13">
        <v>317250</v>
      </c>
      <c r="I315" s="13">
        <v>0</v>
      </c>
      <c r="J315" s="12" t="s">
        <v>254</v>
      </c>
      <c r="K315" s="28" t="s">
        <v>263</v>
      </c>
    </row>
    <row r="316" spans="3:11" ht="15.5" thickTop="1" thickBot="1" x14ac:dyDescent="0.4">
      <c r="C316" s="51" t="s">
        <v>284</v>
      </c>
      <c r="D316" s="12">
        <v>85827</v>
      </c>
      <c r="E316" s="105" t="str">
        <f>IFERROR(VLOOKUP($D316,NUMDIST[],2,FALSE),"DA Non trouvéé")</f>
        <v>KISANGANI - SHOP LA GRACE</v>
      </c>
      <c r="F316" s="12" t="s">
        <v>262</v>
      </c>
      <c r="G316" s="14" t="s">
        <v>7</v>
      </c>
      <c r="H316" s="13">
        <v>940000</v>
      </c>
      <c r="I316" s="13">
        <v>0</v>
      </c>
      <c r="J316" s="12" t="s">
        <v>254</v>
      </c>
      <c r="K316" s="28" t="s">
        <v>263</v>
      </c>
    </row>
    <row r="317" spans="3:11" ht="15.5" thickTop="1" thickBot="1" x14ac:dyDescent="0.4">
      <c r="C317" s="51" t="s">
        <v>284</v>
      </c>
      <c r="D317" s="12">
        <v>55349</v>
      </c>
      <c r="E317" s="105" t="str">
        <f>IFERROR(VLOOKUP($D317,NUMDIST[],2,FALSE),"DA Non trouvéé")</f>
        <v>ISIRO - LES AMIS</v>
      </c>
      <c r="F317" s="12" t="s">
        <v>262</v>
      </c>
      <c r="G317" s="14" t="s">
        <v>7</v>
      </c>
      <c r="H317" s="13">
        <v>347800</v>
      </c>
      <c r="I317" s="13">
        <v>0</v>
      </c>
      <c r="J317" s="12" t="s">
        <v>254</v>
      </c>
      <c r="K317" s="28" t="s">
        <v>263</v>
      </c>
    </row>
    <row r="318" spans="3:11" ht="15.5" thickTop="1" thickBot="1" x14ac:dyDescent="0.4">
      <c r="C318" s="51" t="s">
        <v>284</v>
      </c>
      <c r="D318" s="12">
        <v>103896</v>
      </c>
      <c r="E318" s="105" t="str">
        <f>IFERROR(VLOOKUP($D318,NUMDIST[],2,FALSE),"DA Non trouvéé")</f>
        <v>VAD JPS MAHAGI</v>
      </c>
      <c r="F318" s="12" t="s">
        <v>262</v>
      </c>
      <c r="G318" s="14" t="s">
        <v>4</v>
      </c>
      <c r="H318" s="13">
        <v>211500</v>
      </c>
      <c r="I318" s="13">
        <v>0</v>
      </c>
      <c r="J318" s="12" t="s">
        <v>254</v>
      </c>
      <c r="K318" s="28" t="s">
        <v>263</v>
      </c>
    </row>
    <row r="319" spans="3:11" ht="15.5" thickTop="1" thickBot="1" x14ac:dyDescent="0.4">
      <c r="C319" s="51" t="s">
        <v>284</v>
      </c>
      <c r="D319" s="12">
        <v>90152</v>
      </c>
      <c r="E319" s="105" t="str">
        <f>IFERROR(VLOOKUP($D319,NUMDIST[],2,FALSE),"DA Non trouvéé")</f>
        <v>BUTEMBO - ETS OIEL DU CIEL</v>
      </c>
      <c r="F319" s="12" t="s">
        <v>262</v>
      </c>
      <c r="G319" s="14" t="s">
        <v>5</v>
      </c>
      <c r="H319" s="13">
        <v>705000</v>
      </c>
      <c r="I319" s="13">
        <v>0</v>
      </c>
      <c r="J319" s="12" t="s">
        <v>254</v>
      </c>
      <c r="K319" s="28" t="s">
        <v>263</v>
      </c>
    </row>
    <row r="320" spans="3:11" ht="15.5" thickTop="1" thickBot="1" x14ac:dyDescent="0.4">
      <c r="C320" s="51" t="s">
        <v>284</v>
      </c>
      <c r="D320" s="12">
        <v>87500</v>
      </c>
      <c r="E320" s="105" t="str">
        <f>IFERROR(VLOOKUP($D320,NUMDIST[],2,FALSE),"DA Non trouvéé")</f>
        <v>BUNIA - ETS DIEU MERCI</v>
      </c>
      <c r="F320" s="12" t="s">
        <v>262</v>
      </c>
      <c r="G320" s="14" t="s">
        <v>19</v>
      </c>
      <c r="H320" s="13">
        <v>318500</v>
      </c>
      <c r="I320" s="13">
        <v>0</v>
      </c>
      <c r="J320" s="12" t="s">
        <v>254</v>
      </c>
      <c r="K320" s="28" t="s">
        <v>263</v>
      </c>
    </row>
    <row r="321" spans="3:11" ht="15.5" thickTop="1" thickBot="1" x14ac:dyDescent="0.4">
      <c r="C321" s="51" t="s">
        <v>284</v>
      </c>
      <c r="D321" s="12">
        <v>90182</v>
      </c>
      <c r="E321" s="105" t="str">
        <f>IFERROR(VLOOKUP($D321,NUMDIST[],2,FALSE),"DA Non trouvéé")</f>
        <v>BUNIA - PAPA MALO</v>
      </c>
      <c r="F321" s="12" t="s">
        <v>262</v>
      </c>
      <c r="G321" s="14" t="s">
        <v>7</v>
      </c>
      <c r="H321" s="13">
        <v>352500</v>
      </c>
      <c r="I321" s="13">
        <v>0</v>
      </c>
      <c r="J321" s="12" t="s">
        <v>254</v>
      </c>
      <c r="K321" s="28" t="s">
        <v>263</v>
      </c>
    </row>
    <row r="322" spans="3:11" ht="15.5" thickTop="1" thickBot="1" x14ac:dyDescent="0.4">
      <c r="C322" s="51" t="s">
        <v>284</v>
      </c>
      <c r="D322" s="12">
        <v>42931</v>
      </c>
      <c r="E322" s="105" t="str">
        <f>IFERROR(VLOOKUP($D322,NUMDIST[],2,FALSE),"DA Non trouvéé")</f>
        <v>GOMA - VAD JPS DM</v>
      </c>
      <c r="F322" s="12" t="s">
        <v>287</v>
      </c>
      <c r="G322" s="14" t="s">
        <v>7</v>
      </c>
      <c r="H322" s="13">
        <v>63450</v>
      </c>
      <c r="I322" s="13">
        <v>0</v>
      </c>
      <c r="J322" s="12" t="s">
        <v>254</v>
      </c>
      <c r="K322" s="28" t="s">
        <v>276</v>
      </c>
    </row>
    <row r="323" spans="3:11" ht="15.5" thickTop="1" thickBot="1" x14ac:dyDescent="0.4">
      <c r="C323" s="51" t="s">
        <v>284</v>
      </c>
      <c r="D323" s="12">
        <v>36431</v>
      </c>
      <c r="E323" s="105" t="str">
        <f>IFERROR(VLOOKUP($D323,NUMDIST[],2,FALSE),"DA Non trouvéé")</f>
        <v>Isiro - MACAMPAGNE</v>
      </c>
      <c r="F323" s="12" t="s">
        <v>262</v>
      </c>
      <c r="G323" s="14" t="s">
        <v>8</v>
      </c>
      <c r="H323" s="13">
        <v>869500</v>
      </c>
      <c r="I323" s="13">
        <v>0</v>
      </c>
      <c r="J323" s="12" t="s">
        <v>254</v>
      </c>
      <c r="K323" s="28" t="s">
        <v>263</v>
      </c>
    </row>
    <row r="324" spans="3:11" ht="15.5" thickTop="1" thickBot="1" x14ac:dyDescent="0.4">
      <c r="C324" s="51" t="s">
        <v>284</v>
      </c>
      <c r="D324" s="12">
        <v>91770</v>
      </c>
      <c r="E324" s="105" t="str">
        <f>IFERROR(VLOOKUP($D324,NUMDIST[],2,FALSE),"DA Non trouvéé")</f>
        <v>BUKAVU - MAISON JULIEN BS</v>
      </c>
      <c r="F324" s="12" t="s">
        <v>262</v>
      </c>
      <c r="G324" s="14" t="s">
        <v>5</v>
      </c>
      <c r="H324" s="13">
        <v>216200</v>
      </c>
      <c r="I324" s="13">
        <v>0</v>
      </c>
      <c r="J324" s="12" t="s">
        <v>254</v>
      </c>
      <c r="K324" s="28" t="s">
        <v>263</v>
      </c>
    </row>
    <row r="325" spans="3:11" ht="15.5" thickTop="1" thickBot="1" x14ac:dyDescent="0.4">
      <c r="C325" s="51" t="s">
        <v>284</v>
      </c>
      <c r="D325" s="12">
        <v>36112</v>
      </c>
      <c r="E325" s="105" t="str">
        <f>IFERROR(VLOOKUP($D325,NUMDIST[],2,FALSE),"DA Non trouvéé")</f>
        <v>SUD KIVU - ETS AGRIPPINE</v>
      </c>
      <c r="F325" s="12" t="s">
        <v>262</v>
      </c>
      <c r="G325" s="14" t="s">
        <v>5</v>
      </c>
      <c r="H325" s="13">
        <v>200000</v>
      </c>
      <c r="I325" s="13">
        <v>0</v>
      </c>
      <c r="J325" s="12" t="s">
        <v>254</v>
      </c>
      <c r="K325" s="28" t="s">
        <v>263</v>
      </c>
    </row>
    <row r="326" spans="3:11" ht="15.5" thickTop="1" thickBot="1" x14ac:dyDescent="0.4">
      <c r="C326" s="51" t="s">
        <v>284</v>
      </c>
      <c r="D326" s="12">
        <v>99337</v>
      </c>
      <c r="E326" s="105" t="str">
        <f>IFERROR(VLOOKUP($D326,NUMDIST[],2,FALSE),"DA Non trouvéé")</f>
        <v>ISIRO - SHOP CHARA HOUSE</v>
      </c>
      <c r="F326" s="12" t="s">
        <v>262</v>
      </c>
      <c r="G326" s="14" t="s">
        <v>7</v>
      </c>
      <c r="H326" s="13">
        <v>754350</v>
      </c>
      <c r="I326" s="13">
        <v>0</v>
      </c>
      <c r="J326" s="12" t="s">
        <v>254</v>
      </c>
      <c r="K326" s="28" t="s">
        <v>263</v>
      </c>
    </row>
    <row r="327" spans="3:11" ht="15.5" thickTop="1" thickBot="1" x14ac:dyDescent="0.4">
      <c r="C327" s="51" t="s">
        <v>284</v>
      </c>
      <c r="D327" s="12">
        <v>95820</v>
      </c>
      <c r="E327" s="105" t="str">
        <f>IFERROR(VLOOKUP($D327,NUMDIST[],2,FALSE),"DA Non trouvéé")</f>
        <v>MONGWALU - MAISON INTEMPORELLE</v>
      </c>
      <c r="F327" s="12" t="s">
        <v>262</v>
      </c>
      <c r="G327" s="14" t="s">
        <v>4</v>
      </c>
      <c r="H327" s="13">
        <v>3401750</v>
      </c>
      <c r="I327" s="13">
        <v>0</v>
      </c>
      <c r="J327" s="12" t="s">
        <v>254</v>
      </c>
      <c r="K327" s="28" t="s">
        <v>263</v>
      </c>
    </row>
    <row r="328" spans="3:11" ht="15.5" thickTop="1" thickBot="1" x14ac:dyDescent="0.4">
      <c r="C328" s="51" t="s">
        <v>284</v>
      </c>
      <c r="D328" s="12">
        <v>36710</v>
      </c>
      <c r="E328" s="105" t="str">
        <f>IFERROR(VLOOKUP($D328,NUMDIST[],2,FALSE),"DA Non trouvéé")</f>
        <v>BUNIA - BOUTIQUE JPS DM</v>
      </c>
      <c r="F328" s="12" t="s">
        <v>262</v>
      </c>
      <c r="G328" s="14" t="s">
        <v>19</v>
      </c>
      <c r="H328" s="13">
        <v>2883900</v>
      </c>
      <c r="I328" s="13">
        <v>0</v>
      </c>
      <c r="J328" s="12" t="s">
        <v>254</v>
      </c>
      <c r="K328" s="28" t="s">
        <v>263</v>
      </c>
    </row>
    <row r="329" spans="3:11" ht="15.5" thickTop="1" thickBot="1" x14ac:dyDescent="0.4">
      <c r="C329" s="51" t="s">
        <v>284</v>
      </c>
      <c r="D329" s="12">
        <v>36430</v>
      </c>
      <c r="E329" s="105" t="str">
        <f>IFERROR(VLOOKUP($D329,NUMDIST[],2,FALSE),"DA Non trouvéé")</f>
        <v>Bunia - ETS BOTOAFINE</v>
      </c>
      <c r="F329" s="12" t="s">
        <v>262</v>
      </c>
      <c r="G329" s="14" t="s">
        <v>19</v>
      </c>
      <c r="H329" s="13">
        <v>235000</v>
      </c>
      <c r="I329" s="13">
        <v>0</v>
      </c>
      <c r="J329" s="12" t="s">
        <v>254</v>
      </c>
      <c r="K329" s="28" t="s">
        <v>263</v>
      </c>
    </row>
    <row r="330" spans="3:11" ht="15.5" thickTop="1" thickBot="1" x14ac:dyDescent="0.4">
      <c r="C330" s="51" t="s">
        <v>284</v>
      </c>
      <c r="D330" s="12">
        <v>36433</v>
      </c>
      <c r="E330" s="105" t="str">
        <f>IFERROR(VLOOKUP($D330,NUMDIST[],2,FALSE),"DA Non trouvéé")</f>
        <v>BUNIA - CHEZ JUSTIN</v>
      </c>
      <c r="F330" s="12" t="s">
        <v>262</v>
      </c>
      <c r="G330" s="14" t="s">
        <v>7</v>
      </c>
      <c r="H330" s="13">
        <v>1175000</v>
      </c>
      <c r="I330" s="13">
        <v>0</v>
      </c>
      <c r="J330" s="12" t="s">
        <v>254</v>
      </c>
      <c r="K330" s="28" t="s">
        <v>263</v>
      </c>
    </row>
    <row r="331" spans="3:11" ht="15.5" thickTop="1" thickBot="1" x14ac:dyDescent="0.4">
      <c r="C331" s="51" t="s">
        <v>284</v>
      </c>
      <c r="D331" s="12">
        <v>91404</v>
      </c>
      <c r="E331" s="105" t="str">
        <f>IFERROR(VLOOKUP($D331,NUMDIST[],2,FALSE),"DA Non trouvéé")</f>
        <v>GOMA - SHOP GOMA</v>
      </c>
      <c r="F331" s="12" t="s">
        <v>262</v>
      </c>
      <c r="G331" s="14" t="s">
        <v>5</v>
      </c>
      <c r="H331" s="13">
        <v>470000</v>
      </c>
      <c r="I331" s="13">
        <v>0</v>
      </c>
      <c r="J331" s="12" t="s">
        <v>254</v>
      </c>
      <c r="K331" s="28" t="s">
        <v>263</v>
      </c>
    </row>
    <row r="332" spans="3:11" ht="15.5" thickTop="1" thickBot="1" x14ac:dyDescent="0.4">
      <c r="C332" s="51" t="s">
        <v>284</v>
      </c>
      <c r="D332" s="12">
        <v>95823</v>
      </c>
      <c r="E332" s="105" t="str">
        <f>IFERROR(VLOOKUP($D332,NUMDIST[],2,FALSE),"DA Non trouvéé")</f>
        <v>BUNIA - ETS CANAL BIA</v>
      </c>
      <c r="F332" s="12" t="s">
        <v>262</v>
      </c>
      <c r="G332" s="14" t="s">
        <v>6</v>
      </c>
      <c r="H332" s="13">
        <v>470000</v>
      </c>
      <c r="I332" s="13">
        <v>0</v>
      </c>
      <c r="J332" s="12" t="s">
        <v>15</v>
      </c>
      <c r="K332" s="28" t="s">
        <v>263</v>
      </c>
    </row>
    <row r="333" spans="3:11" ht="15.5" thickTop="1" thickBot="1" x14ac:dyDescent="0.4">
      <c r="C333" s="51" t="s">
        <v>284</v>
      </c>
      <c r="D333" s="12">
        <v>34597</v>
      </c>
      <c r="E333" s="105" t="str">
        <f>IFERROR(VLOOKUP($D333,NUMDIST[],2,FALSE),"DA Non trouvéé")</f>
        <v>ETABLISSEMENT-  JPS DM BIGO</v>
      </c>
      <c r="F333" s="12" t="s">
        <v>262</v>
      </c>
      <c r="G333" s="14" t="s">
        <v>7</v>
      </c>
      <c r="H333" s="13">
        <v>1069250</v>
      </c>
      <c r="I333" s="13">
        <v>0</v>
      </c>
      <c r="J333" s="12" t="s">
        <v>254</v>
      </c>
      <c r="K333" s="28" t="s">
        <v>263</v>
      </c>
    </row>
    <row r="334" spans="3:11" ht="15.5" thickTop="1" thickBot="1" x14ac:dyDescent="0.4">
      <c r="C334" s="51" t="s">
        <v>285</v>
      </c>
      <c r="D334" s="12">
        <v>90192</v>
      </c>
      <c r="E334" s="105" t="str">
        <f>IFERROR(VLOOKUP($D334,NUMDIST[],2,FALSE),"DA Non trouvéé")</f>
        <v>BUKAVU - ETS LA GLOIRE</v>
      </c>
      <c r="F334" s="12" t="s">
        <v>262</v>
      </c>
      <c r="G334" s="14" t="s">
        <v>5</v>
      </c>
      <c r="H334" s="13">
        <v>368950</v>
      </c>
      <c r="I334" s="13">
        <v>0</v>
      </c>
      <c r="J334" s="12" t="s">
        <v>254</v>
      </c>
      <c r="K334" s="28" t="s">
        <v>263</v>
      </c>
    </row>
    <row r="335" spans="3:11" ht="15.5" thickTop="1" thickBot="1" x14ac:dyDescent="0.4">
      <c r="C335" s="51" t="s">
        <v>285</v>
      </c>
      <c r="D335" s="12">
        <v>55349</v>
      </c>
      <c r="E335" s="105" t="str">
        <f>IFERROR(VLOOKUP($D335,NUMDIST[],2,FALSE),"DA Non trouvéé")</f>
        <v>ISIRO - LES AMIS</v>
      </c>
      <c r="F335" s="12" t="s">
        <v>262</v>
      </c>
      <c r="G335" s="14" t="s">
        <v>7</v>
      </c>
      <c r="H335" s="13">
        <v>493500</v>
      </c>
      <c r="I335" s="13">
        <v>0</v>
      </c>
      <c r="J335" s="12" t="s">
        <v>254</v>
      </c>
      <c r="K335" s="28" t="s">
        <v>263</v>
      </c>
    </row>
    <row r="336" spans="3:11" ht="15.5" thickTop="1" thickBot="1" x14ac:dyDescent="0.4">
      <c r="C336" s="51" t="s">
        <v>285</v>
      </c>
      <c r="D336" s="12">
        <v>91380</v>
      </c>
      <c r="E336" s="105" t="str">
        <f>IFERROR(VLOOKUP($D336,NUMDIST[],2,FALSE),"DA Non trouvéé")</f>
        <v>GOMA - MUNZOMBO MATEMBELA</v>
      </c>
      <c r="F336" s="12" t="s">
        <v>262</v>
      </c>
      <c r="G336" s="14" t="s">
        <v>5</v>
      </c>
      <c r="H336" s="13">
        <v>846000</v>
      </c>
      <c r="I336" s="13">
        <v>0</v>
      </c>
      <c r="J336" s="12" t="s">
        <v>254</v>
      </c>
      <c r="K336" s="28" t="s">
        <v>263</v>
      </c>
    </row>
    <row r="337" spans="3:11" ht="15.5" thickTop="1" thickBot="1" x14ac:dyDescent="0.4">
      <c r="C337" s="51" t="s">
        <v>285</v>
      </c>
      <c r="D337" s="12">
        <v>85827</v>
      </c>
      <c r="E337" s="105" t="str">
        <f>IFERROR(VLOOKUP($D337,NUMDIST[],2,FALSE),"DA Non trouvéé")</f>
        <v>KISANGANI - SHOP LA GRACE</v>
      </c>
      <c r="F337" s="12" t="s">
        <v>262</v>
      </c>
      <c r="G337" s="14" t="s">
        <v>4</v>
      </c>
      <c r="H337" s="13">
        <v>705000</v>
      </c>
      <c r="I337" s="13">
        <v>0</v>
      </c>
      <c r="J337" s="12" t="s">
        <v>254</v>
      </c>
      <c r="K337" s="28" t="s">
        <v>263</v>
      </c>
    </row>
    <row r="338" spans="3:11" ht="15.5" thickTop="1" thickBot="1" x14ac:dyDescent="0.4">
      <c r="C338" s="51" t="s">
        <v>285</v>
      </c>
      <c r="D338" s="12">
        <v>36112</v>
      </c>
      <c r="E338" s="105" t="str">
        <f>IFERROR(VLOOKUP($D338,NUMDIST[],2,FALSE),"DA Non trouvéé")</f>
        <v>SUD KIVU - ETS AGRIPPINE</v>
      </c>
      <c r="F338" s="12" t="s">
        <v>262</v>
      </c>
      <c r="G338" s="14" t="s">
        <v>5</v>
      </c>
      <c r="H338" s="13">
        <v>200000</v>
      </c>
      <c r="I338" s="13">
        <v>0</v>
      </c>
      <c r="J338" s="12" t="s">
        <v>254</v>
      </c>
      <c r="K338" s="28" t="s">
        <v>263</v>
      </c>
    </row>
    <row r="339" spans="3:11" ht="15.5" thickTop="1" thickBot="1" x14ac:dyDescent="0.4">
      <c r="C339" s="51" t="s">
        <v>285</v>
      </c>
      <c r="D339" s="12">
        <v>87503</v>
      </c>
      <c r="E339" s="105" t="str">
        <f>IFERROR(VLOOKUP($D339,NUMDIST[],2,FALSE),"DA Non trouvéé")</f>
        <v>BUKAVU - ETS DIEU EST GRAND</v>
      </c>
      <c r="F339" s="12" t="s">
        <v>262</v>
      </c>
      <c r="G339" s="14" t="s">
        <v>5</v>
      </c>
      <c r="H339" s="13">
        <v>308000</v>
      </c>
      <c r="I339" s="13">
        <v>0</v>
      </c>
      <c r="J339" s="12" t="s">
        <v>254</v>
      </c>
      <c r="K339" s="28" t="s">
        <v>263</v>
      </c>
    </row>
    <row r="340" spans="3:11" ht="15.5" thickTop="1" thickBot="1" x14ac:dyDescent="0.4">
      <c r="C340" s="51" t="s">
        <v>285</v>
      </c>
      <c r="D340" s="12">
        <v>55350</v>
      </c>
      <c r="E340" s="105" t="str">
        <f>IFERROR(VLOOKUP($D340,NUMDIST[],2,FALSE),"DA Non trouvéé")</f>
        <v>OICHA - CLINIQUE ORDINATEURS</v>
      </c>
      <c r="F340" s="12" t="s">
        <v>262</v>
      </c>
      <c r="G340" s="14" t="s">
        <v>5</v>
      </c>
      <c r="H340" s="13">
        <v>258500</v>
      </c>
      <c r="I340" s="13">
        <v>0</v>
      </c>
      <c r="J340" s="12" t="s">
        <v>254</v>
      </c>
      <c r="K340" s="28" t="s">
        <v>263</v>
      </c>
    </row>
    <row r="341" spans="3:11" ht="15.5" thickTop="1" thickBot="1" x14ac:dyDescent="0.4">
      <c r="C341" s="51" t="s">
        <v>285</v>
      </c>
      <c r="D341" s="12">
        <v>95823</v>
      </c>
      <c r="E341" s="105" t="str">
        <f>IFERROR(VLOOKUP($D341,NUMDIST[],2,FALSE),"DA Non trouvéé")</f>
        <v>BUNIA - ETS CANAL BIA</v>
      </c>
      <c r="F341" s="12" t="s">
        <v>262</v>
      </c>
      <c r="G341" s="14" t="s">
        <v>19</v>
      </c>
      <c r="H341" s="13">
        <v>235000</v>
      </c>
      <c r="I341" s="13">
        <v>0</v>
      </c>
      <c r="J341" s="12" t="s">
        <v>254</v>
      </c>
      <c r="K341" s="28" t="s">
        <v>263</v>
      </c>
    </row>
    <row r="342" spans="3:11" ht="15.5" thickTop="1" thickBot="1" x14ac:dyDescent="0.4">
      <c r="C342" s="51" t="s">
        <v>285</v>
      </c>
      <c r="D342" s="12">
        <v>90156</v>
      </c>
      <c r="E342" s="105" t="str">
        <f>IFERROR(VLOOKUP($D342,NUMDIST[],2,FALSE),"DA Non trouvéé")</f>
        <v>GOMA - ETS ADONIS</v>
      </c>
      <c r="F342" s="12" t="s">
        <v>262</v>
      </c>
      <c r="G342" s="14" t="s">
        <v>5</v>
      </c>
      <c r="H342" s="13">
        <v>470000</v>
      </c>
      <c r="I342" s="13">
        <v>0</v>
      </c>
      <c r="J342" s="12" t="s">
        <v>254</v>
      </c>
      <c r="K342" s="28" t="s">
        <v>263</v>
      </c>
    </row>
    <row r="343" spans="3:11" ht="15.5" thickTop="1" thickBot="1" x14ac:dyDescent="0.4">
      <c r="C343" s="51" t="s">
        <v>285</v>
      </c>
      <c r="D343" s="12">
        <v>107345</v>
      </c>
      <c r="E343" s="105" t="str">
        <f>IFERROR(VLOOKUP($D343,NUMDIST[],2,FALSE),"DA Non trouvéé")</f>
        <v>ITURI - ETS JEHOVAH SHALOM</v>
      </c>
      <c r="F343" s="12" t="s">
        <v>262</v>
      </c>
      <c r="G343" s="14" t="s">
        <v>19</v>
      </c>
      <c r="H343" s="13">
        <v>120000</v>
      </c>
      <c r="I343" s="13">
        <v>0</v>
      </c>
      <c r="J343" s="12" t="s">
        <v>254</v>
      </c>
      <c r="K343" s="28" t="s">
        <v>263</v>
      </c>
    </row>
    <row r="344" spans="3:11" ht="15.5" thickTop="1" thickBot="1" x14ac:dyDescent="0.4">
      <c r="C344" s="51" t="s">
        <v>285</v>
      </c>
      <c r="D344" s="12">
        <v>96214</v>
      </c>
      <c r="E344" s="105" t="str">
        <f>IFERROR(VLOOKUP($D344,NUMDIST[],2,FALSE),"DA Non trouvéé")</f>
        <v>BUNIA - ETS AMJBUS</v>
      </c>
      <c r="F344" s="12" t="s">
        <v>262</v>
      </c>
      <c r="G344" s="14" t="s">
        <v>4</v>
      </c>
      <c r="H344" s="13">
        <v>117500</v>
      </c>
      <c r="I344" s="13">
        <v>0</v>
      </c>
      <c r="J344" s="12" t="s">
        <v>254</v>
      </c>
      <c r="K344" s="28" t="s">
        <v>263</v>
      </c>
    </row>
    <row r="345" spans="3:11" ht="15.5" thickTop="1" thickBot="1" x14ac:dyDescent="0.4">
      <c r="C345" s="51" t="s">
        <v>285</v>
      </c>
      <c r="D345" s="12">
        <v>90173</v>
      </c>
      <c r="E345" s="105" t="str">
        <f>IFERROR(VLOOKUP($D345,NUMDIST[],2,FALSE),"DA Non trouvéé")</f>
        <v>BUNIA - ZI BUSINESS</v>
      </c>
      <c r="F345" s="12" t="s">
        <v>262</v>
      </c>
      <c r="G345" s="14" t="s">
        <v>19</v>
      </c>
      <c r="H345" s="13">
        <v>309000</v>
      </c>
      <c r="I345" s="13">
        <v>0</v>
      </c>
      <c r="J345" s="12" t="s">
        <v>254</v>
      </c>
      <c r="K345" s="28" t="s">
        <v>263</v>
      </c>
    </row>
    <row r="346" spans="3:11" ht="15.5" thickTop="1" thickBot="1" x14ac:dyDescent="0.4">
      <c r="C346" s="51" t="s">
        <v>285</v>
      </c>
      <c r="D346" s="12">
        <v>84318</v>
      </c>
      <c r="E346" s="105" t="str">
        <f>IFERROR(VLOOKUP($D346,NUMDIST[],2,FALSE),"DA Non trouvéé")</f>
        <v>BUTEMBO - FONDATION RUMY</v>
      </c>
      <c r="F346" s="12" t="s">
        <v>262</v>
      </c>
      <c r="G346" s="14" t="s">
        <v>5</v>
      </c>
      <c r="H346" s="13">
        <v>235000</v>
      </c>
      <c r="I346" s="13">
        <v>0</v>
      </c>
      <c r="J346" s="12" t="s">
        <v>15</v>
      </c>
      <c r="K346" s="28" t="s">
        <v>263</v>
      </c>
    </row>
    <row r="347" spans="3:11" ht="15.5" thickTop="1" thickBot="1" x14ac:dyDescent="0.4">
      <c r="C347" s="51" t="s">
        <v>285</v>
      </c>
      <c r="D347" s="12">
        <v>59057</v>
      </c>
      <c r="E347" s="105" t="str">
        <f>IFERROR(VLOOKUP($D347,NUMDIST[],2,FALSE),"DA Non trouvéé")</f>
        <v>ITURI - ETS BJSE</v>
      </c>
      <c r="F347" s="12" t="s">
        <v>262</v>
      </c>
      <c r="G347" s="14" t="s">
        <v>19</v>
      </c>
      <c r="H347" s="13">
        <v>1880000</v>
      </c>
      <c r="I347" s="13">
        <v>0</v>
      </c>
      <c r="J347" s="12" t="s">
        <v>254</v>
      </c>
      <c r="K347" s="28" t="s">
        <v>263</v>
      </c>
    </row>
    <row r="348" spans="3:11" ht="15.5" thickTop="1" thickBot="1" x14ac:dyDescent="0.4">
      <c r="C348" s="51" t="s">
        <v>285</v>
      </c>
      <c r="D348" s="12">
        <v>42152</v>
      </c>
      <c r="E348" s="105" t="str">
        <f>IFERROR(VLOOKUP($D348,NUMDIST[],2,FALSE),"DA Non trouvéé")</f>
        <v>Bunia - Ets SKY</v>
      </c>
      <c r="F348" s="12" t="s">
        <v>262</v>
      </c>
      <c r="G348" s="14" t="s">
        <v>10</v>
      </c>
      <c r="H348" s="13">
        <v>1605000</v>
      </c>
      <c r="I348" s="13">
        <v>0</v>
      </c>
      <c r="J348" s="12" t="s">
        <v>254</v>
      </c>
      <c r="K348" s="28" t="s">
        <v>263</v>
      </c>
    </row>
    <row r="349" spans="3:11" ht="15.5" thickTop="1" thickBot="1" x14ac:dyDescent="0.4">
      <c r="C349" s="51" t="s">
        <v>285</v>
      </c>
      <c r="D349" s="12">
        <v>34598</v>
      </c>
      <c r="E349" s="105" t="str">
        <f>IFERROR(VLOOKUP($D349,NUMDIST[],2,FALSE),"DA Non trouvéé")</f>
        <v>ETABLISSEMENT JPS DM DURBA</v>
      </c>
      <c r="F349" s="12" t="s">
        <v>262</v>
      </c>
      <c r="G349" s="14" t="s">
        <v>8</v>
      </c>
      <c r="H349" s="13">
        <v>400000</v>
      </c>
      <c r="I349" s="13">
        <v>0</v>
      </c>
      <c r="J349" s="12" t="s">
        <v>254</v>
      </c>
      <c r="K349" s="28" t="s">
        <v>263</v>
      </c>
    </row>
    <row r="350" spans="3:11" ht="15.5" thickTop="1" thickBot="1" x14ac:dyDescent="0.4">
      <c r="C350" s="51" t="s">
        <v>285</v>
      </c>
      <c r="D350" s="12">
        <v>90176</v>
      </c>
      <c r="E350" s="105" t="str">
        <f>IFERROR(VLOOKUP($D350,NUMDIST[],2,FALSE),"DA Non trouvéé")</f>
        <v>BUNIA - SHOP MATATA</v>
      </c>
      <c r="F350" s="12" t="s">
        <v>262</v>
      </c>
      <c r="G350" s="14" t="s">
        <v>7</v>
      </c>
      <c r="H350" s="13">
        <v>470000</v>
      </c>
      <c r="I350" s="13">
        <v>0</v>
      </c>
      <c r="J350" s="12" t="s">
        <v>254</v>
      </c>
      <c r="K350" s="28" t="s">
        <v>263</v>
      </c>
    </row>
    <row r="351" spans="3:11" ht="15.5" thickTop="1" thickBot="1" x14ac:dyDescent="0.4">
      <c r="C351" s="51" t="s">
        <v>285</v>
      </c>
      <c r="D351" s="12">
        <v>42153</v>
      </c>
      <c r="E351" s="105" t="str">
        <f>IFERROR(VLOOKUP($D351,NUMDIST[],2,FALSE),"DA Non trouvéé")</f>
        <v>BUNIA - ETS SALEM</v>
      </c>
      <c r="F351" s="12" t="s">
        <v>262</v>
      </c>
      <c r="G351" s="14" t="s">
        <v>5</v>
      </c>
      <c r="H351" s="13">
        <v>352500</v>
      </c>
      <c r="I351" s="13">
        <v>0</v>
      </c>
      <c r="J351" s="12" t="s">
        <v>254</v>
      </c>
      <c r="K351" s="28" t="s">
        <v>263</v>
      </c>
    </row>
    <row r="352" spans="3:11" ht="15.5" thickTop="1" thickBot="1" x14ac:dyDescent="0.4">
      <c r="C352" s="51" t="s">
        <v>285</v>
      </c>
      <c r="D352" s="12">
        <v>58537</v>
      </c>
      <c r="E352" s="105" t="str">
        <f>IFERROR(VLOOKUP($D352,NUMDIST[],2,FALSE),"DA Non trouvéé")</f>
        <v>BUNIA - ETS JASSY</v>
      </c>
      <c r="F352" s="12" t="s">
        <v>262</v>
      </c>
      <c r="G352" s="14" t="s">
        <v>19</v>
      </c>
      <c r="H352" s="13">
        <v>470000</v>
      </c>
      <c r="I352" s="13">
        <v>0</v>
      </c>
      <c r="J352" s="12" t="s">
        <v>254</v>
      </c>
      <c r="K352" s="28" t="s">
        <v>263</v>
      </c>
    </row>
    <row r="353" spans="3:11" ht="15.5" thickTop="1" thickBot="1" x14ac:dyDescent="0.4">
      <c r="C353" s="51" t="s">
        <v>285</v>
      </c>
      <c r="D353" s="12">
        <v>91770</v>
      </c>
      <c r="E353" s="105" t="str">
        <f>IFERROR(VLOOKUP($D353,NUMDIST[],2,FALSE),"DA Non trouvéé")</f>
        <v>BUKAVU - MAISON JULIEN BS</v>
      </c>
      <c r="F353" s="12" t="s">
        <v>262</v>
      </c>
      <c r="G353" s="14" t="s">
        <v>5</v>
      </c>
      <c r="H353" s="13">
        <v>423000</v>
      </c>
      <c r="I353" s="13">
        <v>0</v>
      </c>
      <c r="J353" s="12" t="s">
        <v>254</v>
      </c>
      <c r="K353" s="28" t="s">
        <v>263</v>
      </c>
    </row>
    <row r="354" spans="3:11" ht="15.5" thickTop="1" thickBot="1" x14ac:dyDescent="0.4">
      <c r="C354" s="51" t="s">
        <v>285</v>
      </c>
      <c r="D354" s="12">
        <v>99337</v>
      </c>
      <c r="E354" s="105" t="str">
        <f>IFERROR(VLOOKUP($D354,NUMDIST[],2,FALSE),"DA Non trouvéé")</f>
        <v>ISIRO - SHOP CHARA HOUSE</v>
      </c>
      <c r="F354" s="12" t="s">
        <v>262</v>
      </c>
      <c r="G354" s="14" t="s">
        <v>7</v>
      </c>
      <c r="H354" s="13">
        <v>1861200</v>
      </c>
      <c r="I354" s="13">
        <v>0</v>
      </c>
      <c r="J354" s="12" t="s">
        <v>254</v>
      </c>
      <c r="K354" s="28" t="s">
        <v>263</v>
      </c>
    </row>
    <row r="355" spans="3:11" ht="15.5" thickTop="1" thickBot="1" x14ac:dyDescent="0.4">
      <c r="C355" s="51" t="s">
        <v>285</v>
      </c>
      <c r="D355" s="12">
        <v>36711</v>
      </c>
      <c r="E355" s="105" t="str">
        <f>IFERROR(VLOOKUP($D355,NUMDIST[],2,FALSE),"DA Non trouvéé")</f>
        <v>MONGBWALU - ETS FSN</v>
      </c>
      <c r="F355" s="12" t="s">
        <v>262</v>
      </c>
      <c r="G355" s="14" t="s">
        <v>6</v>
      </c>
      <c r="H355" s="13">
        <v>10499800</v>
      </c>
      <c r="I355" s="13">
        <v>0</v>
      </c>
      <c r="J355" s="12" t="s">
        <v>15</v>
      </c>
      <c r="K355" s="28" t="s">
        <v>263</v>
      </c>
    </row>
    <row r="356" spans="3:11" ht="15.5" thickTop="1" thickBot="1" x14ac:dyDescent="0.4">
      <c r="C356" s="51" t="s">
        <v>285</v>
      </c>
      <c r="D356" s="12">
        <v>36710</v>
      </c>
      <c r="E356" s="105" t="str">
        <f>IFERROR(VLOOKUP($D356,NUMDIST[],2,FALSE),"DA Non trouvéé")</f>
        <v>BUNIA - BOUTIQUE JPS DM</v>
      </c>
      <c r="F356" s="12" t="s">
        <v>262</v>
      </c>
      <c r="G356" s="14" t="s">
        <v>19</v>
      </c>
      <c r="H356" s="13">
        <v>4123500</v>
      </c>
      <c r="I356" s="13">
        <v>0</v>
      </c>
      <c r="J356" s="12" t="s">
        <v>254</v>
      </c>
      <c r="K356" s="28" t="s">
        <v>263</v>
      </c>
    </row>
    <row r="357" spans="3:11" ht="15.5" thickTop="1" thickBot="1" x14ac:dyDescent="0.4">
      <c r="C357" s="51" t="s">
        <v>285</v>
      </c>
      <c r="D357" s="12">
        <v>36433</v>
      </c>
      <c r="E357" s="105" t="str">
        <f>IFERROR(VLOOKUP($D357,NUMDIST[],2,FALSE),"DA Non trouvéé")</f>
        <v>BUNIA - CHEZ JUSTIN</v>
      </c>
      <c r="F357" s="12" t="s">
        <v>262</v>
      </c>
      <c r="G357" s="14" t="s">
        <v>7</v>
      </c>
      <c r="H357" s="13">
        <v>1175000</v>
      </c>
      <c r="I357" s="13">
        <v>0</v>
      </c>
      <c r="J357" s="12" t="s">
        <v>254</v>
      </c>
      <c r="K357" s="28" t="s">
        <v>263</v>
      </c>
    </row>
    <row r="358" spans="3:11" ht="15.5" thickTop="1" thickBot="1" x14ac:dyDescent="0.4">
      <c r="C358" s="51" t="s">
        <v>285</v>
      </c>
      <c r="D358" s="12">
        <v>55350</v>
      </c>
      <c r="E358" s="105" t="str">
        <f>IFERROR(VLOOKUP($D358,NUMDIST[],2,FALSE),"DA Non trouvéé")</f>
        <v>OICHA - CLINIQUE ORDINATEURS</v>
      </c>
      <c r="F358" s="12" t="s">
        <v>262</v>
      </c>
      <c r="G358" s="14" t="s">
        <v>5</v>
      </c>
      <c r="H358" s="13">
        <v>411250</v>
      </c>
      <c r="I358" s="13">
        <v>0</v>
      </c>
      <c r="J358" s="12" t="s">
        <v>254</v>
      </c>
      <c r="K358" s="28" t="s">
        <v>263</v>
      </c>
    </row>
    <row r="359" spans="3:11" ht="15.5" thickTop="1" thickBot="1" x14ac:dyDescent="0.4">
      <c r="C359" s="51" t="s">
        <v>285</v>
      </c>
      <c r="D359" s="12">
        <v>91404</v>
      </c>
      <c r="E359" s="105" t="str">
        <f>IFERROR(VLOOKUP($D359,NUMDIST[],2,FALSE),"DA Non trouvéé")</f>
        <v>GOMA - SHOP GOMA</v>
      </c>
      <c r="F359" s="12" t="s">
        <v>262</v>
      </c>
      <c r="G359" s="14" t="s">
        <v>5</v>
      </c>
      <c r="H359" s="13">
        <v>326650</v>
      </c>
      <c r="I359" s="13">
        <v>0</v>
      </c>
      <c r="J359" s="12" t="s">
        <v>254</v>
      </c>
      <c r="K359" s="28" t="s">
        <v>263</v>
      </c>
    </row>
    <row r="360" spans="3:11" ht="15.5" thickTop="1" thickBot="1" x14ac:dyDescent="0.4">
      <c r="C360" s="51" t="s">
        <v>285</v>
      </c>
      <c r="D360" s="12">
        <v>34597</v>
      </c>
      <c r="E360" s="105" t="str">
        <f>IFERROR(VLOOKUP($D360,NUMDIST[],2,FALSE),"DA Non trouvéé")</f>
        <v>ETABLISSEMENT-  JPS DM BIGO</v>
      </c>
      <c r="F360" s="12" t="s">
        <v>262</v>
      </c>
      <c r="G360" s="14" t="s">
        <v>7</v>
      </c>
      <c r="H360" s="13">
        <v>968000</v>
      </c>
      <c r="I360" s="13">
        <v>0</v>
      </c>
      <c r="J360" s="12" t="s">
        <v>254</v>
      </c>
      <c r="K360" s="28" t="s">
        <v>263</v>
      </c>
    </row>
    <row r="361" spans="3:11" ht="15.5" thickTop="1" thickBot="1" x14ac:dyDescent="0.4">
      <c r="C361" s="51" t="s">
        <v>285</v>
      </c>
      <c r="D361" s="12">
        <v>44932</v>
      </c>
      <c r="E361" s="105" t="str">
        <f>IFERROR(VLOOKUP($D361,NUMDIST[],2,FALSE),"DA Non trouvéé")</f>
        <v>DUNGU -  JPS DM DUNGU</v>
      </c>
      <c r="F361" s="12" t="s">
        <v>283</v>
      </c>
      <c r="G361" s="14" t="s">
        <v>7</v>
      </c>
      <c r="H361" s="13">
        <v>0</v>
      </c>
      <c r="I361" s="13">
        <v>1585815</v>
      </c>
      <c r="J361" s="12" t="s">
        <v>254</v>
      </c>
      <c r="K361" s="28" t="s">
        <v>276</v>
      </c>
    </row>
    <row r="362" spans="3:11" ht="15.5" thickTop="1" thickBot="1" x14ac:dyDescent="0.4">
      <c r="C362" s="51" t="s">
        <v>285</v>
      </c>
      <c r="D362" s="12">
        <v>92120</v>
      </c>
      <c r="E362" s="105" t="str">
        <f>IFERROR(VLOOKUP($D362,NUMDIST[],2,FALSE),"DA Non trouvéé")</f>
        <v>KISANGANI - ESENGO</v>
      </c>
      <c r="F362" s="12" t="s">
        <v>283</v>
      </c>
      <c r="G362" s="14" t="s">
        <v>7</v>
      </c>
      <c r="H362" s="13">
        <v>0</v>
      </c>
      <c r="I362" s="13">
        <v>80682</v>
      </c>
      <c r="J362" s="12" t="s">
        <v>254</v>
      </c>
      <c r="K362" s="28" t="s">
        <v>276</v>
      </c>
    </row>
    <row r="363" spans="3:11" ht="15.5" thickTop="1" thickBot="1" x14ac:dyDescent="0.4">
      <c r="C363" s="51" t="s">
        <v>285</v>
      </c>
      <c r="D363" s="12"/>
      <c r="E363" s="105" t="str">
        <f>IFERROR(VLOOKUP($D363,NUMDIST[],2,FALSE),"DA Non trouvéé")</f>
        <v>DA Non trouvéé</v>
      </c>
      <c r="F363" s="12" t="s">
        <v>283</v>
      </c>
      <c r="G363" s="14" t="s">
        <v>7</v>
      </c>
      <c r="H363" s="13">
        <v>0</v>
      </c>
      <c r="I363" s="13">
        <v>19981</v>
      </c>
      <c r="J363" s="12" t="s">
        <v>254</v>
      </c>
      <c r="K363" s="28" t="s">
        <v>276</v>
      </c>
    </row>
    <row r="364" spans="3:11" ht="15.5" thickTop="1" thickBot="1" x14ac:dyDescent="0.4">
      <c r="C364" s="51" t="s">
        <v>286</v>
      </c>
      <c r="D364" s="12">
        <v>87500</v>
      </c>
      <c r="E364" s="105" t="str">
        <f>IFERROR(VLOOKUP($D364,NUMDIST[],2,FALSE),"DA Non trouvéé")</f>
        <v>BUNIA - ETS DIEU MERCI</v>
      </c>
      <c r="F364" s="12" t="s">
        <v>262</v>
      </c>
      <c r="G364" s="14" t="s">
        <v>19</v>
      </c>
      <c r="H364" s="13">
        <v>242500</v>
      </c>
      <c r="I364" s="13">
        <v>0</v>
      </c>
      <c r="J364" s="12" t="s">
        <v>254</v>
      </c>
      <c r="K364" s="28" t="s">
        <v>263</v>
      </c>
    </row>
    <row r="365" spans="3:11" ht="15.5" thickTop="1" thickBot="1" x14ac:dyDescent="0.4">
      <c r="C365" s="51" t="s">
        <v>286</v>
      </c>
      <c r="D365" s="12">
        <v>91377</v>
      </c>
      <c r="E365" s="105" t="str">
        <f>IFERROR(VLOOKUP($D365,NUMDIST[],2,FALSE),"DA Non trouvéé")</f>
        <v>BUTEMBO - BMSHOP</v>
      </c>
      <c r="F365" s="12" t="s">
        <v>262</v>
      </c>
      <c r="G365" s="14" t="s">
        <v>5</v>
      </c>
      <c r="H365" s="13">
        <v>705000</v>
      </c>
      <c r="I365" s="13">
        <v>0</v>
      </c>
      <c r="J365" s="12" t="s">
        <v>254</v>
      </c>
      <c r="K365" s="28" t="s">
        <v>263</v>
      </c>
    </row>
    <row r="366" spans="3:11" ht="15.5" thickTop="1" thickBot="1" x14ac:dyDescent="0.4">
      <c r="C366" s="51" t="s">
        <v>286</v>
      </c>
      <c r="D366" s="12">
        <v>71087</v>
      </c>
      <c r="E366" s="105" t="str">
        <f>IFERROR(VLOOKUP($D366,NUMDIST[],2,FALSE),"DA Non trouvéé")</f>
        <v>ETS CALIFORNIE</v>
      </c>
      <c r="F366" s="12" t="s">
        <v>262</v>
      </c>
      <c r="G366" s="14" t="s">
        <v>19</v>
      </c>
      <c r="H366" s="13">
        <v>235000</v>
      </c>
      <c r="I366" s="13">
        <v>0</v>
      </c>
      <c r="J366" s="12" t="s">
        <v>254</v>
      </c>
      <c r="K366" s="28" t="s">
        <v>263</v>
      </c>
    </row>
    <row r="367" spans="3:11" ht="15.5" thickTop="1" thickBot="1" x14ac:dyDescent="0.4">
      <c r="C367" s="51" t="s">
        <v>286</v>
      </c>
      <c r="D367" s="12">
        <v>55348</v>
      </c>
      <c r="E367" s="105" t="str">
        <f>IFERROR(VLOOKUP($D367,NUMDIST[],2,FALSE),"DA Non trouvéé")</f>
        <v>WAROMA - BUSINESS</v>
      </c>
      <c r="F367" s="12" t="s">
        <v>262</v>
      </c>
      <c r="G367" s="14" t="s">
        <v>19</v>
      </c>
      <c r="H367" s="13">
        <v>235000</v>
      </c>
      <c r="I367" s="13">
        <v>0</v>
      </c>
      <c r="J367" s="12" t="s">
        <v>254</v>
      </c>
      <c r="K367" s="28" t="s">
        <v>263</v>
      </c>
    </row>
    <row r="368" spans="3:11" ht="15.5" thickTop="1" thickBot="1" x14ac:dyDescent="0.4">
      <c r="C368" s="51" t="s">
        <v>286</v>
      </c>
      <c r="D368" s="12">
        <v>55349</v>
      </c>
      <c r="E368" s="105" t="str">
        <f>IFERROR(VLOOKUP($D368,NUMDIST[],2,FALSE),"DA Non trouvéé")</f>
        <v>ISIRO - LES AMIS</v>
      </c>
      <c r="F368" s="12" t="s">
        <v>262</v>
      </c>
      <c r="G368" s="14" t="s">
        <v>7</v>
      </c>
      <c r="H368" s="13">
        <v>752000</v>
      </c>
      <c r="I368" s="13">
        <v>0</v>
      </c>
      <c r="J368" s="12" t="s">
        <v>254</v>
      </c>
      <c r="K368" s="28" t="s">
        <v>263</v>
      </c>
    </row>
    <row r="369" spans="3:11" ht="15.5" thickTop="1" thickBot="1" x14ac:dyDescent="0.4">
      <c r="C369" s="51" t="s">
        <v>286</v>
      </c>
      <c r="D369" s="12">
        <v>85827</v>
      </c>
      <c r="E369" s="105" t="str">
        <f>IFERROR(VLOOKUP($D369,NUMDIST[],2,FALSE),"DA Non trouvéé")</f>
        <v>KISANGANI - SHOP LA GRACE</v>
      </c>
      <c r="F369" s="12" t="s">
        <v>262</v>
      </c>
      <c r="G369" s="14" t="s">
        <v>7</v>
      </c>
      <c r="H369" s="13">
        <v>705000</v>
      </c>
      <c r="I369" s="13">
        <v>0</v>
      </c>
      <c r="J369" s="12" t="s">
        <v>254</v>
      </c>
      <c r="K369" s="28" t="s">
        <v>263</v>
      </c>
    </row>
    <row r="370" spans="3:11" ht="15.5" thickTop="1" thickBot="1" x14ac:dyDescent="0.4">
      <c r="C370" s="51" t="s">
        <v>286</v>
      </c>
      <c r="D370" s="12">
        <v>36430</v>
      </c>
      <c r="E370" s="105" t="str">
        <f>IFERROR(VLOOKUP($D370,NUMDIST[],2,FALSE),"DA Non trouvéé")</f>
        <v>Bunia - ETS BOTOAFINE</v>
      </c>
      <c r="F370" s="12" t="s">
        <v>262</v>
      </c>
      <c r="G370" s="14" t="s">
        <v>19</v>
      </c>
      <c r="H370" s="13">
        <v>160000</v>
      </c>
      <c r="I370" s="13">
        <v>0</v>
      </c>
      <c r="J370" s="12" t="s">
        <v>254</v>
      </c>
      <c r="K370" s="28" t="s">
        <v>263</v>
      </c>
    </row>
    <row r="371" spans="3:11" ht="15.5" thickTop="1" thickBot="1" x14ac:dyDescent="0.4">
      <c r="C371" s="51" t="s">
        <v>286</v>
      </c>
      <c r="D371" s="12">
        <v>97314</v>
      </c>
      <c r="E371" s="105" t="str">
        <f>IFERROR(VLOOKUP($D371,NUMDIST[],2,FALSE),"DA Non trouvéé")</f>
        <v>ARU - CHEZ TRYPHOSE</v>
      </c>
      <c r="F371" s="12" t="s">
        <v>262</v>
      </c>
      <c r="G371" s="14" t="s">
        <v>5</v>
      </c>
      <c r="H371" s="13">
        <v>2702500</v>
      </c>
      <c r="I371" s="13">
        <v>0</v>
      </c>
      <c r="J371" s="12" t="s">
        <v>254</v>
      </c>
      <c r="K371" s="28" t="s">
        <v>263</v>
      </c>
    </row>
    <row r="372" spans="3:11" ht="15.5" thickTop="1" thickBot="1" x14ac:dyDescent="0.4">
      <c r="C372" s="51" t="s">
        <v>286</v>
      </c>
      <c r="D372" s="12">
        <v>97318</v>
      </c>
      <c r="E372" s="105" t="str">
        <f>IFERROR(VLOOKUP($D372,NUMDIST[],2,FALSE),"DA Non trouvéé")</f>
        <v>BUNIA - ESTHEBI SHOP</v>
      </c>
      <c r="F372" s="12" t="s">
        <v>262</v>
      </c>
      <c r="G372" s="14" t="s">
        <v>4</v>
      </c>
      <c r="H372" s="13">
        <v>180000</v>
      </c>
      <c r="I372" s="13">
        <v>0</v>
      </c>
      <c r="J372" s="12" t="s">
        <v>254</v>
      </c>
      <c r="K372" s="28" t="s">
        <v>263</v>
      </c>
    </row>
    <row r="373" spans="3:11" ht="15.5" thickTop="1" thickBot="1" x14ac:dyDescent="0.4">
      <c r="C373" s="51" t="s">
        <v>286</v>
      </c>
      <c r="D373" s="12">
        <v>90184</v>
      </c>
      <c r="E373" s="105" t="str">
        <f>IFERROR(VLOOKUP($D373,NUMDIST[],2,FALSE),"DA Non trouvéé")</f>
        <v>BUNIA - ETS MOISE MESO</v>
      </c>
      <c r="F373" s="12" t="s">
        <v>262</v>
      </c>
      <c r="G373" s="14" t="s">
        <v>19</v>
      </c>
      <c r="H373" s="13">
        <v>470000</v>
      </c>
      <c r="I373" s="13">
        <v>0</v>
      </c>
      <c r="J373" s="12" t="s">
        <v>254</v>
      </c>
      <c r="K373" s="28" t="s">
        <v>263</v>
      </c>
    </row>
    <row r="374" spans="3:11" ht="15.5" thickTop="1" thickBot="1" x14ac:dyDescent="0.4">
      <c r="C374" s="51" t="s">
        <v>286</v>
      </c>
      <c r="D374" s="12">
        <v>87503</v>
      </c>
      <c r="E374" s="105" t="str">
        <f>IFERROR(VLOOKUP($D374,NUMDIST[],2,FALSE),"DA Non trouvéé")</f>
        <v>BUKAVU - ETS DIEU EST GRAND</v>
      </c>
      <c r="F374" s="12" t="s">
        <v>262</v>
      </c>
      <c r="G374" s="14" t="s">
        <v>5</v>
      </c>
      <c r="H374" s="13">
        <v>1045750</v>
      </c>
      <c r="I374" s="13">
        <v>0</v>
      </c>
      <c r="J374" s="12" t="s">
        <v>254</v>
      </c>
      <c r="K374" s="28" t="s">
        <v>263</v>
      </c>
    </row>
    <row r="375" spans="3:11" ht="15.5" thickTop="1" thickBot="1" x14ac:dyDescent="0.4">
      <c r="C375" s="51" t="s">
        <v>286</v>
      </c>
      <c r="D375" s="12">
        <v>90185</v>
      </c>
      <c r="E375" s="105" t="str">
        <f>IFERROR(VLOOKUP($D375,NUMDIST[],2,FALSE),"DA Non trouvéé")</f>
        <v>DJUGU - CHEZ ROBERT</v>
      </c>
      <c r="F375" s="12" t="s">
        <v>262</v>
      </c>
      <c r="G375" s="14" t="s">
        <v>19</v>
      </c>
      <c r="H375" s="13">
        <v>368715</v>
      </c>
      <c r="I375" s="13">
        <v>0</v>
      </c>
      <c r="J375" s="12" t="s">
        <v>254</v>
      </c>
      <c r="K375" s="28" t="s">
        <v>263</v>
      </c>
    </row>
    <row r="376" spans="3:11" ht="15.5" thickTop="1" thickBot="1" x14ac:dyDescent="0.4">
      <c r="C376" s="51" t="s">
        <v>286</v>
      </c>
      <c r="D376" s="12">
        <v>55350</v>
      </c>
      <c r="E376" s="105" t="str">
        <f>IFERROR(VLOOKUP($D376,NUMDIST[],2,FALSE),"DA Non trouvéé")</f>
        <v>OICHA - CLINIQUE ORDINATEURS</v>
      </c>
      <c r="F376" s="12" t="s">
        <v>262</v>
      </c>
      <c r="G376" s="14" t="s">
        <v>5</v>
      </c>
      <c r="H376" s="13">
        <v>411250</v>
      </c>
      <c r="I376" s="13">
        <v>0</v>
      </c>
      <c r="J376" s="12" t="s">
        <v>254</v>
      </c>
      <c r="K376" s="28" t="s">
        <v>263</v>
      </c>
    </row>
    <row r="377" spans="3:11" ht="15.5" thickTop="1" thickBot="1" x14ac:dyDescent="0.4">
      <c r="C377" s="51" t="s">
        <v>286</v>
      </c>
      <c r="D377" s="12">
        <v>104189</v>
      </c>
      <c r="E377" s="105" t="str">
        <f>IFERROR(VLOOKUP($D377,NUMDIST[],2,FALSE),"DA Non trouvéé")</f>
        <v>KIVU - PILIPILI GROUP</v>
      </c>
      <c r="F377" s="12" t="s">
        <v>262</v>
      </c>
      <c r="G377" s="14" t="s">
        <v>7</v>
      </c>
      <c r="H377" s="13">
        <v>1000000</v>
      </c>
      <c r="I377" s="13">
        <v>0</v>
      </c>
      <c r="J377" s="12" t="s">
        <v>254</v>
      </c>
      <c r="K377" s="28" t="s">
        <v>263</v>
      </c>
    </row>
    <row r="378" spans="3:11" ht="15.5" thickTop="1" thickBot="1" x14ac:dyDescent="0.4">
      <c r="C378" s="51" t="s">
        <v>286</v>
      </c>
      <c r="D378" s="12">
        <v>95816</v>
      </c>
      <c r="E378" s="105" t="str">
        <f>IFERROR(VLOOKUP($D378,NUMDIST[],2,FALSE),"DA Non trouvéé")</f>
        <v>DURBA - RIEN EST IMOPOBLE</v>
      </c>
      <c r="F378" s="12" t="s">
        <v>262</v>
      </c>
      <c r="G378" s="14" t="s">
        <v>5</v>
      </c>
      <c r="H378" s="13">
        <v>470000</v>
      </c>
      <c r="I378" s="13">
        <v>0</v>
      </c>
      <c r="J378" s="12" t="s">
        <v>254</v>
      </c>
      <c r="K378" s="28" t="s">
        <v>263</v>
      </c>
    </row>
    <row r="379" spans="3:11" ht="15.5" thickTop="1" thickBot="1" x14ac:dyDescent="0.4">
      <c r="C379" s="51" t="s">
        <v>286</v>
      </c>
      <c r="D379" s="12">
        <v>105534</v>
      </c>
      <c r="E379" s="105" t="str">
        <f>IFERROR(VLOOKUP($D379,NUMDIST[],2,FALSE),"DA Non trouvéé")</f>
        <v>ARU - ANSELME SHOP</v>
      </c>
      <c r="F379" s="12" t="s">
        <v>262</v>
      </c>
      <c r="G379" s="14" t="s">
        <v>4</v>
      </c>
      <c r="H379" s="13">
        <v>470000</v>
      </c>
      <c r="I379" s="13">
        <v>0</v>
      </c>
      <c r="J379" s="12" t="s">
        <v>254</v>
      </c>
      <c r="K379" s="28" t="s">
        <v>263</v>
      </c>
    </row>
    <row r="380" spans="3:11" ht="15.5" thickTop="1" thickBot="1" x14ac:dyDescent="0.4">
      <c r="C380" s="51" t="s">
        <v>286</v>
      </c>
      <c r="D380" s="12">
        <v>107790</v>
      </c>
      <c r="E380" s="105" t="str">
        <f>IFERROR(VLOOKUP($D380,NUMDIST[],2,FALSE),"DA Non trouvéé")</f>
        <v>JPS GOMA SHOP JUST BUSINESS</v>
      </c>
      <c r="F380" s="12" t="s">
        <v>262</v>
      </c>
      <c r="G380" s="14" t="s">
        <v>5</v>
      </c>
      <c r="H380" s="13">
        <v>411250</v>
      </c>
      <c r="I380" s="13">
        <v>0</v>
      </c>
      <c r="J380" s="12" t="s">
        <v>254</v>
      </c>
      <c r="K380" s="28" t="s">
        <v>263</v>
      </c>
    </row>
    <row r="381" spans="3:11" ht="15.5" thickTop="1" thickBot="1" x14ac:dyDescent="0.4">
      <c r="C381" s="51" t="s">
        <v>286</v>
      </c>
      <c r="D381" s="12">
        <v>36433</v>
      </c>
      <c r="E381" s="105" t="str">
        <f>IFERROR(VLOOKUP($D381,NUMDIST[],2,FALSE),"DA Non trouvéé")</f>
        <v>BUNIA - CHEZ JUSTIN</v>
      </c>
      <c r="F381" s="12" t="s">
        <v>262</v>
      </c>
      <c r="G381" s="14" t="s">
        <v>7</v>
      </c>
      <c r="H381" s="13">
        <v>1175000</v>
      </c>
      <c r="I381" s="13">
        <v>0</v>
      </c>
      <c r="J381" s="12" t="s">
        <v>254</v>
      </c>
      <c r="K381" s="28" t="s">
        <v>263</v>
      </c>
    </row>
    <row r="382" spans="3:11" ht="15.5" thickTop="1" thickBot="1" x14ac:dyDescent="0.4">
      <c r="C382" s="51" t="s">
        <v>286</v>
      </c>
      <c r="D382" s="12">
        <v>92122</v>
      </c>
      <c r="E382" s="105" t="str">
        <f>IFERROR(VLOOKUP($D382,NUMDIST[],2,FALSE),"DA Non trouvéé")</f>
        <v>KISANGANI - MONT GOLOGOTA</v>
      </c>
      <c r="F382" s="12" t="s">
        <v>262</v>
      </c>
      <c r="G382" s="14" t="s">
        <v>5</v>
      </c>
      <c r="H382" s="13">
        <v>352500</v>
      </c>
      <c r="I382" s="13">
        <v>0</v>
      </c>
      <c r="J382" s="12" t="s">
        <v>254</v>
      </c>
      <c r="K382" s="28" t="s">
        <v>263</v>
      </c>
    </row>
    <row r="383" spans="3:11" ht="15.5" thickTop="1" thickBot="1" x14ac:dyDescent="0.4">
      <c r="C383" s="51" t="s">
        <v>286</v>
      </c>
      <c r="D383" s="12">
        <v>36532</v>
      </c>
      <c r="E383" s="105" t="str">
        <f>IFERROR(VLOOKUP($D383,NUMDIST[],2,FALSE),"DA Non trouvéé")</f>
        <v>BUNIA - EGIREX</v>
      </c>
      <c r="F383" s="12" t="s">
        <v>262</v>
      </c>
      <c r="G383" s="14" t="s">
        <v>5</v>
      </c>
      <c r="H383" s="13">
        <v>235000</v>
      </c>
      <c r="I383" s="13">
        <v>0</v>
      </c>
      <c r="J383" s="12" t="s">
        <v>254</v>
      </c>
      <c r="K383" s="28" t="s">
        <v>263</v>
      </c>
    </row>
    <row r="384" spans="3:11" ht="15.5" thickTop="1" thickBot="1" x14ac:dyDescent="0.4">
      <c r="C384" s="51" t="s">
        <v>286</v>
      </c>
      <c r="D384" s="12">
        <v>42153</v>
      </c>
      <c r="E384" s="105" t="str">
        <f>IFERROR(VLOOKUP($D384,NUMDIST[],2,FALSE),"DA Non trouvéé")</f>
        <v>BUNIA - ETS SALEM</v>
      </c>
      <c r="F384" s="12" t="s">
        <v>262</v>
      </c>
      <c r="G384" s="14" t="s">
        <v>5</v>
      </c>
      <c r="H384" s="13">
        <v>399500</v>
      </c>
      <c r="I384" s="13">
        <v>0</v>
      </c>
      <c r="J384" s="12" t="s">
        <v>254</v>
      </c>
      <c r="K384" s="28" t="s">
        <v>263</v>
      </c>
    </row>
    <row r="385" spans="3:11" ht="15.5" thickTop="1" thickBot="1" x14ac:dyDescent="0.4">
      <c r="C385" s="51" t="s">
        <v>286</v>
      </c>
      <c r="D385" s="12">
        <v>34597</v>
      </c>
      <c r="E385" s="105" t="str">
        <f>IFERROR(VLOOKUP($D385,NUMDIST[],2,FALSE),"DA Non trouvéé")</f>
        <v>ETABLISSEMENT-  JPS DM BIGO</v>
      </c>
      <c r="F385" s="12" t="s">
        <v>262</v>
      </c>
      <c r="G385" s="14" t="s">
        <v>7</v>
      </c>
      <c r="H385" s="13">
        <v>1075000</v>
      </c>
      <c r="I385" s="13">
        <v>0</v>
      </c>
      <c r="J385" s="12" t="s">
        <v>254</v>
      </c>
      <c r="K385" s="28" t="s">
        <v>263</v>
      </c>
    </row>
    <row r="386" spans="3:11" ht="15.5" thickTop="1" thickBot="1" x14ac:dyDescent="0.4">
      <c r="C386" s="51" t="s">
        <v>286</v>
      </c>
      <c r="D386" s="12">
        <v>36431</v>
      </c>
      <c r="E386" s="105" t="str">
        <f>IFERROR(VLOOKUP($D386,NUMDIST[],2,FALSE),"DA Non trouvéé")</f>
        <v>Isiro - MACAMPAGNE</v>
      </c>
      <c r="F386" s="12" t="s">
        <v>262</v>
      </c>
      <c r="G386" s="14" t="s">
        <v>8</v>
      </c>
      <c r="H386" s="13">
        <v>923000</v>
      </c>
      <c r="I386" s="13">
        <v>0</v>
      </c>
      <c r="J386" s="12" t="s">
        <v>254</v>
      </c>
      <c r="K386" s="28" t="s">
        <v>263</v>
      </c>
    </row>
    <row r="387" spans="3:11" ht="15.5" thickTop="1" thickBot="1" x14ac:dyDescent="0.4">
      <c r="C387" s="51" t="s">
        <v>286</v>
      </c>
      <c r="D387" s="12">
        <v>59057</v>
      </c>
      <c r="E387" s="105" t="str">
        <f>IFERROR(VLOOKUP($D387,NUMDIST[],2,FALSE),"DA Non trouvéé")</f>
        <v>ITURI - ETS BJSE</v>
      </c>
      <c r="F387" s="12" t="s">
        <v>262</v>
      </c>
      <c r="G387" s="14" t="s">
        <v>19</v>
      </c>
      <c r="H387" s="13">
        <v>1410000</v>
      </c>
      <c r="I387" s="13">
        <v>0</v>
      </c>
      <c r="J387" s="12" t="s">
        <v>254</v>
      </c>
      <c r="K387" s="28" t="s">
        <v>263</v>
      </c>
    </row>
    <row r="388" spans="3:11" ht="15.5" thickTop="1" thickBot="1" x14ac:dyDescent="0.4">
      <c r="C388" s="51" t="s">
        <v>286</v>
      </c>
      <c r="D388" s="12">
        <v>95823</v>
      </c>
      <c r="E388" s="105" t="str">
        <f>IFERROR(VLOOKUP($D388,NUMDIST[],2,FALSE),"DA Non trouvéé")</f>
        <v>BUNIA - ETS CANAL BIA</v>
      </c>
      <c r="F388" s="12" t="s">
        <v>262</v>
      </c>
      <c r="G388" s="14" t="s">
        <v>19</v>
      </c>
      <c r="H388" s="13">
        <v>470000</v>
      </c>
      <c r="I388" s="13">
        <v>0</v>
      </c>
      <c r="J388" s="12" t="s">
        <v>254</v>
      </c>
      <c r="K388" s="28" t="s">
        <v>263</v>
      </c>
    </row>
    <row r="389" spans="3:11" ht="15.5" thickTop="1" thickBot="1" x14ac:dyDescent="0.4">
      <c r="C389" s="51" t="s">
        <v>286</v>
      </c>
      <c r="D389" s="12">
        <v>99337</v>
      </c>
      <c r="E389" s="105" t="str">
        <f>IFERROR(VLOOKUP($D389,NUMDIST[],2,FALSE),"DA Non trouvéé")</f>
        <v>ISIRO - SHOP CHARA HOUSE</v>
      </c>
      <c r="F389" s="12" t="s">
        <v>262</v>
      </c>
      <c r="G389" s="14" t="s">
        <v>7</v>
      </c>
      <c r="H389" s="13">
        <v>1005800</v>
      </c>
      <c r="I389" s="13">
        <v>0</v>
      </c>
      <c r="J389" s="12" t="s">
        <v>254</v>
      </c>
      <c r="K389" s="28" t="s">
        <v>263</v>
      </c>
    </row>
    <row r="390" spans="3:11" ht="15.5" thickTop="1" thickBot="1" x14ac:dyDescent="0.4">
      <c r="C390" s="51" t="s">
        <v>286</v>
      </c>
      <c r="D390" s="12">
        <v>85827</v>
      </c>
      <c r="E390" s="105" t="str">
        <f>IFERROR(VLOOKUP($D390,NUMDIST[],2,FALSE),"DA Non trouvéé")</f>
        <v>KISANGANI - SHOP LA GRACE</v>
      </c>
      <c r="F390" s="12" t="s">
        <v>262</v>
      </c>
      <c r="G390" s="14" t="s">
        <v>4</v>
      </c>
      <c r="H390" s="13">
        <v>900050</v>
      </c>
      <c r="I390" s="13">
        <v>0</v>
      </c>
      <c r="J390" s="12" t="s">
        <v>254</v>
      </c>
      <c r="K390" s="28" t="s">
        <v>263</v>
      </c>
    </row>
    <row r="391" spans="3:11" ht="15.5" thickTop="1" thickBot="1" x14ac:dyDescent="0.4">
      <c r="C391" s="51" t="s">
        <v>286</v>
      </c>
      <c r="D391" s="12">
        <v>95818</v>
      </c>
      <c r="E391" s="105" t="str">
        <f>IFERROR(VLOOKUP($D391,NUMDIST[],2,FALSE),"DA Non trouvéé")</f>
        <v>BUNIA - SHOP BLESSING</v>
      </c>
      <c r="F391" s="12" t="s">
        <v>262</v>
      </c>
      <c r="G391" s="14" t="s">
        <v>19</v>
      </c>
      <c r="H391" s="13">
        <v>352500</v>
      </c>
      <c r="I391" s="13">
        <v>0</v>
      </c>
      <c r="J391" s="12" t="s">
        <v>254</v>
      </c>
      <c r="K391" s="28" t="s">
        <v>263</v>
      </c>
    </row>
    <row r="392" spans="3:11" ht="15.5" thickTop="1" thickBot="1" x14ac:dyDescent="0.4">
      <c r="C392" s="51" t="s">
        <v>288</v>
      </c>
      <c r="D392" s="12">
        <v>36710</v>
      </c>
      <c r="E392" s="105" t="str">
        <f>IFERROR(VLOOKUP($D392,NUMDIST[],2,FALSE),"DA Non trouvéé")</f>
        <v>BUNIA - BOUTIQUE JPS DM</v>
      </c>
      <c r="F392" s="12" t="s">
        <v>262</v>
      </c>
      <c r="G392" s="14" t="s">
        <v>19</v>
      </c>
      <c r="H392" s="13">
        <v>2238700</v>
      </c>
      <c r="I392" s="13">
        <v>0</v>
      </c>
      <c r="J392" s="12" t="s">
        <v>254</v>
      </c>
      <c r="K392" s="28" t="s">
        <v>263</v>
      </c>
    </row>
    <row r="393" spans="3:11" ht="15.5" thickTop="1" thickBot="1" x14ac:dyDescent="0.4">
      <c r="C393" s="51" t="s">
        <v>288</v>
      </c>
      <c r="D393" s="12">
        <v>106304</v>
      </c>
      <c r="E393" s="105" t="str">
        <f>IFERROR(VLOOKUP($D393,NUMDIST[],2,FALSE),"DA Non trouvéé")</f>
        <v>NORD KIVU - PRINCE BUSINESS</v>
      </c>
      <c r="F393" s="12" t="s">
        <v>262</v>
      </c>
      <c r="G393" s="14" t="s">
        <v>5</v>
      </c>
      <c r="H393" s="13">
        <v>195050</v>
      </c>
      <c r="I393" s="13">
        <v>0</v>
      </c>
      <c r="J393" s="12" t="s">
        <v>254</v>
      </c>
      <c r="K393" s="28" t="s">
        <v>263</v>
      </c>
    </row>
    <row r="394" spans="3:11" ht="15.5" thickTop="1" thickBot="1" x14ac:dyDescent="0.4">
      <c r="C394" s="51" t="s">
        <v>288</v>
      </c>
      <c r="D394" s="12">
        <v>106295</v>
      </c>
      <c r="E394" s="105" t="str">
        <f>IFERROR(VLOOKUP($D394,NUMDIST[],2,FALSE),"DA Non trouvéé")</f>
        <v>SHARI - SHOP DIEU MOI</v>
      </c>
      <c r="F394" s="12" t="s">
        <v>262</v>
      </c>
      <c r="G394" s="14" t="s">
        <v>4</v>
      </c>
      <c r="H394" s="13">
        <v>235000</v>
      </c>
      <c r="I394" s="13">
        <v>0</v>
      </c>
      <c r="J394" s="12" t="s">
        <v>254</v>
      </c>
      <c r="K394" s="28" t="s">
        <v>263</v>
      </c>
    </row>
    <row r="395" spans="3:11" ht="15.5" thickTop="1" thickBot="1" x14ac:dyDescent="0.4">
      <c r="C395" s="51" t="s">
        <v>288</v>
      </c>
      <c r="D395" s="12">
        <v>90152</v>
      </c>
      <c r="E395" s="105" t="str">
        <f>IFERROR(VLOOKUP($D395,NUMDIST[],2,FALSE),"DA Non trouvéé")</f>
        <v>BUTEMBO - ETS OIEL DU CIEL</v>
      </c>
      <c r="F395" s="12" t="s">
        <v>262</v>
      </c>
      <c r="G395" s="14" t="s">
        <v>4</v>
      </c>
      <c r="H395" s="13">
        <v>235000</v>
      </c>
      <c r="I395" s="13">
        <v>0</v>
      </c>
      <c r="J395" s="12" t="s">
        <v>254</v>
      </c>
      <c r="K395" s="28" t="s">
        <v>263</v>
      </c>
    </row>
    <row r="396" spans="3:11" ht="15.5" thickTop="1" thickBot="1" x14ac:dyDescent="0.4">
      <c r="C396" s="26" t="s">
        <v>289</v>
      </c>
      <c r="D396" s="12">
        <v>55348</v>
      </c>
      <c r="E396" s="105" t="str">
        <f>IFERROR(VLOOKUP($D396,NUMDIST[],2,FALSE),"DA Non trouvéé")</f>
        <v>WAROMA - BUSINESS</v>
      </c>
      <c r="F396" s="12" t="s">
        <v>262</v>
      </c>
      <c r="G396" s="14" t="s">
        <v>19</v>
      </c>
      <c r="H396" s="13">
        <v>142500</v>
      </c>
      <c r="I396" s="13">
        <v>0</v>
      </c>
      <c r="J396" s="12" t="s">
        <v>254</v>
      </c>
      <c r="K396" s="28" t="s">
        <v>263</v>
      </c>
    </row>
    <row r="397" spans="3:11" ht="15.5" thickTop="1" thickBot="1" x14ac:dyDescent="0.4">
      <c r="C397" s="26" t="s">
        <v>289</v>
      </c>
      <c r="D397" s="12">
        <v>90152</v>
      </c>
      <c r="E397" s="105" t="str">
        <f>IFERROR(VLOOKUP($D397,NUMDIST[],2,FALSE),"DA Non trouvéé")</f>
        <v>BUTEMBO - ETS OIEL DU CIEL</v>
      </c>
      <c r="F397" s="12" t="s">
        <v>262</v>
      </c>
      <c r="G397" s="14" t="s">
        <v>5</v>
      </c>
      <c r="H397" s="13">
        <v>705000</v>
      </c>
      <c r="I397" s="13">
        <v>0</v>
      </c>
      <c r="J397" s="12" t="s">
        <v>254</v>
      </c>
      <c r="K397" s="28" t="s">
        <v>263</v>
      </c>
    </row>
    <row r="398" spans="3:11" ht="15.5" thickTop="1" thickBot="1" x14ac:dyDescent="0.4">
      <c r="C398" s="26" t="s">
        <v>289</v>
      </c>
      <c r="D398" s="12">
        <v>85827</v>
      </c>
      <c r="E398" s="105" t="str">
        <f>IFERROR(VLOOKUP($D398,NUMDIST[],2,FALSE),"DA Non trouvéé")</f>
        <v>KISANGANI - SHOP LA GRACE</v>
      </c>
      <c r="F398" s="12" t="s">
        <v>262</v>
      </c>
      <c r="G398" s="14" t="s">
        <v>4</v>
      </c>
      <c r="H398" s="13">
        <v>822500</v>
      </c>
      <c r="I398" s="13">
        <v>0</v>
      </c>
      <c r="J398" s="12" t="s">
        <v>254</v>
      </c>
      <c r="K398" s="28" t="s">
        <v>263</v>
      </c>
    </row>
    <row r="399" spans="3:11" ht="15.5" thickTop="1" thickBot="1" x14ac:dyDescent="0.4">
      <c r="C399" s="26" t="s">
        <v>289</v>
      </c>
      <c r="D399" s="12">
        <v>36430</v>
      </c>
      <c r="E399" s="105" t="str">
        <f>IFERROR(VLOOKUP($D399,NUMDIST[],2,FALSE),"DA Non trouvéé")</f>
        <v>Bunia - ETS BOTOAFINE</v>
      </c>
      <c r="F399" s="12" t="s">
        <v>262</v>
      </c>
      <c r="G399" s="14" t="s">
        <v>19</v>
      </c>
      <c r="H399" s="13">
        <v>305500</v>
      </c>
      <c r="I399" s="13">
        <v>0</v>
      </c>
      <c r="J399" s="12" t="s">
        <v>254</v>
      </c>
      <c r="K399" s="28" t="s">
        <v>263</v>
      </c>
    </row>
    <row r="400" spans="3:11" ht="15.5" thickTop="1" thickBot="1" x14ac:dyDescent="0.4">
      <c r="C400" s="26" t="s">
        <v>289</v>
      </c>
      <c r="D400" s="12">
        <v>90174</v>
      </c>
      <c r="E400" s="105" t="str">
        <f>IFERROR(VLOOKUP($D400,NUMDIST[],2,FALSE),"DA Non trouvéé")</f>
        <v>MAHAGI - ETS JACQUES PLUS</v>
      </c>
      <c r="F400" s="12" t="s">
        <v>262</v>
      </c>
      <c r="G400" s="14" t="s">
        <v>4</v>
      </c>
      <c r="H400" s="13">
        <v>287000</v>
      </c>
      <c r="I400" s="13">
        <v>0</v>
      </c>
      <c r="J400" s="12" t="s">
        <v>254</v>
      </c>
      <c r="K400" s="28" t="s">
        <v>263</v>
      </c>
    </row>
    <row r="401" spans="3:11" ht="15.5" thickTop="1" thickBot="1" x14ac:dyDescent="0.4">
      <c r="C401" s="26" t="s">
        <v>289</v>
      </c>
      <c r="D401" s="12">
        <v>97319</v>
      </c>
      <c r="E401" s="105" t="str">
        <f>IFERROR(VLOOKUP($D401,NUMDIST[],2,FALSE),"DA Non trouvéé")</f>
        <v>ARU - ETS TULUA BUSINESS</v>
      </c>
      <c r="F401" s="12" t="s">
        <v>262</v>
      </c>
      <c r="G401" s="14" t="s">
        <v>5</v>
      </c>
      <c r="H401" s="13">
        <v>470000</v>
      </c>
      <c r="I401" s="13">
        <v>0</v>
      </c>
      <c r="J401" s="12" t="s">
        <v>254</v>
      </c>
      <c r="K401" s="28" t="s">
        <v>263</v>
      </c>
    </row>
    <row r="402" spans="3:11" ht="15.5" thickTop="1" thickBot="1" x14ac:dyDescent="0.4">
      <c r="C402" s="26" t="s">
        <v>289</v>
      </c>
      <c r="D402" s="12">
        <v>102554</v>
      </c>
      <c r="E402" s="105" t="str">
        <f>IFERROR(VLOOKUP($D402,NUMDIST[],2,FALSE),"DA Non trouvéé")</f>
        <v>KANYASI - ZITONO SHOP</v>
      </c>
      <c r="F402" s="12" t="s">
        <v>262</v>
      </c>
      <c r="G402" s="14" t="s">
        <v>19</v>
      </c>
      <c r="H402" s="13">
        <v>235000</v>
      </c>
      <c r="I402" s="13">
        <v>0</v>
      </c>
      <c r="J402" s="12" t="s">
        <v>254</v>
      </c>
      <c r="K402" s="28" t="s">
        <v>263</v>
      </c>
    </row>
    <row r="403" spans="3:11" ht="15.5" thickTop="1" thickBot="1" x14ac:dyDescent="0.4">
      <c r="C403" s="26" t="s">
        <v>289</v>
      </c>
      <c r="D403" s="12">
        <v>99337</v>
      </c>
      <c r="E403" s="105" t="str">
        <f>IFERROR(VLOOKUP($D403,NUMDIST[],2,FALSE),"DA Non trouvéé")</f>
        <v>ISIRO - SHOP CHARA HOUSE</v>
      </c>
      <c r="F403" s="12" t="s">
        <v>262</v>
      </c>
      <c r="G403" s="14" t="s">
        <v>8</v>
      </c>
      <c r="H403" s="13">
        <v>947050</v>
      </c>
      <c r="I403" s="13">
        <v>0</v>
      </c>
      <c r="J403" s="12" t="s">
        <v>254</v>
      </c>
      <c r="K403" s="28" t="s">
        <v>263</v>
      </c>
    </row>
    <row r="404" spans="3:11" ht="15.5" thickTop="1" thickBot="1" x14ac:dyDescent="0.4">
      <c r="C404" s="26" t="s">
        <v>289</v>
      </c>
      <c r="D404" s="12">
        <v>36433</v>
      </c>
      <c r="E404" s="105" t="str">
        <f>IFERROR(VLOOKUP($D404,NUMDIST[],2,FALSE),"DA Non trouvéé")</f>
        <v>BUNIA - CHEZ JUSTIN</v>
      </c>
      <c r="F404" s="12" t="s">
        <v>262</v>
      </c>
      <c r="G404" s="14" t="s">
        <v>7</v>
      </c>
      <c r="H404" s="13">
        <v>1175000</v>
      </c>
      <c r="I404" s="13">
        <v>0</v>
      </c>
      <c r="J404" s="12" t="s">
        <v>254</v>
      </c>
      <c r="K404" s="28" t="s">
        <v>263</v>
      </c>
    </row>
    <row r="405" spans="3:11" ht="15.5" thickTop="1" thickBot="1" x14ac:dyDescent="0.4">
      <c r="C405" s="26" t="s">
        <v>289</v>
      </c>
      <c r="D405" s="12">
        <v>71102</v>
      </c>
      <c r="E405" s="105" t="str">
        <f>IFERROR(VLOOKUP($D405,NUMDIST[],2,FALSE),"DA Non trouvéé")</f>
        <v>GOMA - BOUTIQUE JPS DM</v>
      </c>
      <c r="F405" s="12" t="s">
        <v>262</v>
      </c>
      <c r="G405" s="14" t="s">
        <v>5</v>
      </c>
      <c r="H405" s="13">
        <v>470000</v>
      </c>
      <c r="I405" s="13">
        <v>0</v>
      </c>
      <c r="J405" s="12" t="s">
        <v>254</v>
      </c>
      <c r="K405" s="28" t="s">
        <v>263</v>
      </c>
    </row>
    <row r="406" spans="3:11" ht="15.5" thickTop="1" thickBot="1" x14ac:dyDescent="0.4">
      <c r="C406" s="26" t="s">
        <v>289</v>
      </c>
      <c r="D406" s="12">
        <v>71084</v>
      </c>
      <c r="E406" s="105" t="str">
        <f>IFERROR(VLOOKUP($D406,NUMDIST[],2,FALSE),"DA Non trouvéé")</f>
        <v>DURBA - Ets HUSSUMA BUSINESS</v>
      </c>
      <c r="F406" s="12" t="s">
        <v>262</v>
      </c>
      <c r="G406" s="14" t="s">
        <v>5</v>
      </c>
      <c r="H406" s="13">
        <v>5710500</v>
      </c>
      <c r="I406" s="13">
        <v>0</v>
      </c>
      <c r="J406" s="12" t="s">
        <v>254</v>
      </c>
      <c r="K406" s="28" t="s">
        <v>263</v>
      </c>
    </row>
    <row r="407" spans="3:11" ht="15.5" thickTop="1" thickBot="1" x14ac:dyDescent="0.4">
      <c r="C407" s="26" t="s">
        <v>289</v>
      </c>
      <c r="D407" s="12">
        <v>90164</v>
      </c>
      <c r="E407" s="105" t="str">
        <f>IFERROR(VLOOKUP($D407,NUMDIST[],2,FALSE),"DA Non trouvéé")</f>
        <v>BUNIA - ALPHA SHOP</v>
      </c>
      <c r="F407" s="12" t="s">
        <v>262</v>
      </c>
      <c r="G407" s="14" t="s">
        <v>7</v>
      </c>
      <c r="H407" s="13">
        <v>470000</v>
      </c>
      <c r="I407" s="13">
        <v>0</v>
      </c>
      <c r="J407" s="12" t="s">
        <v>254</v>
      </c>
      <c r="K407" s="28" t="s">
        <v>263</v>
      </c>
    </row>
    <row r="408" spans="3:11" ht="15.5" thickTop="1" thickBot="1" x14ac:dyDescent="0.4">
      <c r="C408" s="26" t="s">
        <v>289</v>
      </c>
      <c r="D408" s="12">
        <v>84318</v>
      </c>
      <c r="E408" s="105" t="str">
        <f>IFERROR(VLOOKUP($D408,NUMDIST[],2,FALSE),"DA Non trouvéé")</f>
        <v>BUTEMBO - FONDATION RUMY</v>
      </c>
      <c r="F408" s="12" t="s">
        <v>262</v>
      </c>
      <c r="G408" s="14" t="s">
        <v>7</v>
      </c>
      <c r="H408" s="13">
        <v>235000</v>
      </c>
      <c r="I408" s="13">
        <v>0</v>
      </c>
      <c r="J408" s="12" t="s">
        <v>254</v>
      </c>
      <c r="K408" s="28" t="s">
        <v>263</v>
      </c>
    </row>
    <row r="409" spans="3:11" ht="15.5" thickTop="1" thickBot="1" x14ac:dyDescent="0.4">
      <c r="C409" s="26" t="s">
        <v>289</v>
      </c>
      <c r="D409" s="12">
        <v>104788</v>
      </c>
      <c r="E409" s="105" t="str">
        <f>IFERROR(VLOOKUP($D409,NUMDIST[],2,FALSE),"DA Non trouvéé")</f>
        <v>BUNIA - ETS DON DE DIEU</v>
      </c>
      <c r="F409" s="12" t="s">
        <v>262</v>
      </c>
      <c r="G409" s="14" t="s">
        <v>19</v>
      </c>
      <c r="H409" s="13">
        <v>352500</v>
      </c>
      <c r="I409" s="13">
        <v>0</v>
      </c>
      <c r="J409" s="12" t="s">
        <v>254</v>
      </c>
      <c r="K409" s="28" t="s">
        <v>263</v>
      </c>
    </row>
    <row r="410" spans="3:11" ht="15.5" thickTop="1" thickBot="1" x14ac:dyDescent="0.4">
      <c r="C410" s="26" t="s">
        <v>289</v>
      </c>
      <c r="D410" s="12">
        <v>103980</v>
      </c>
      <c r="E410" s="105" t="str">
        <f>IFERROR(VLOOKUP($D410,NUMDIST[],2,FALSE),"DA Non trouvéé")</f>
        <v>ETABLISSEMENT GABRIELLA</v>
      </c>
      <c r="F410" s="12" t="s">
        <v>262</v>
      </c>
      <c r="G410" s="14" t="s">
        <v>7</v>
      </c>
      <c r="H410" s="13">
        <v>164500</v>
      </c>
      <c r="I410" s="13">
        <v>0</v>
      </c>
      <c r="J410" s="12" t="s">
        <v>254</v>
      </c>
      <c r="K410" s="28" t="s">
        <v>263</v>
      </c>
    </row>
    <row r="411" spans="3:11" ht="15.5" thickTop="1" thickBot="1" x14ac:dyDescent="0.4">
      <c r="C411" s="26" t="s">
        <v>289</v>
      </c>
      <c r="D411" s="12">
        <v>42153</v>
      </c>
      <c r="E411" s="105" t="str">
        <f>IFERROR(VLOOKUP($D411,NUMDIST[],2,FALSE),"DA Non trouvéé")</f>
        <v>BUNIA - ETS SALEM</v>
      </c>
      <c r="F411" s="12" t="s">
        <v>262</v>
      </c>
      <c r="G411" s="14" t="s">
        <v>4</v>
      </c>
      <c r="H411" s="13">
        <v>352500</v>
      </c>
      <c r="I411" s="13">
        <v>0</v>
      </c>
      <c r="J411" s="12" t="s">
        <v>254</v>
      </c>
      <c r="K411" s="28" t="s">
        <v>263</v>
      </c>
    </row>
    <row r="412" spans="3:11" ht="15.5" thickTop="1" thickBot="1" x14ac:dyDescent="0.4">
      <c r="C412" s="26" t="s">
        <v>289</v>
      </c>
      <c r="D412" s="12">
        <v>36112</v>
      </c>
      <c r="E412" s="105" t="str">
        <f>IFERROR(VLOOKUP($D412,NUMDIST[],2,FALSE),"DA Non trouvéé")</f>
        <v>SUD KIVU - ETS AGRIPPINE</v>
      </c>
      <c r="F412" s="12" t="s">
        <v>262</v>
      </c>
      <c r="G412" s="14" t="s">
        <v>5</v>
      </c>
      <c r="H412" s="13">
        <v>200000</v>
      </c>
      <c r="I412" s="13">
        <v>0</v>
      </c>
      <c r="J412" s="12" t="s">
        <v>254</v>
      </c>
      <c r="K412" s="28" t="s">
        <v>263</v>
      </c>
    </row>
    <row r="413" spans="3:11" ht="15.5" thickTop="1" thickBot="1" x14ac:dyDescent="0.4">
      <c r="C413" s="26" t="s">
        <v>289</v>
      </c>
      <c r="D413" s="12">
        <v>90192</v>
      </c>
      <c r="E413" s="105" t="str">
        <f>IFERROR(VLOOKUP($D413,NUMDIST[],2,FALSE),"DA Non trouvéé")</f>
        <v>BUKAVU - ETS LA GLOIRE</v>
      </c>
      <c r="F413" s="12" t="s">
        <v>262</v>
      </c>
      <c r="G413" s="14" t="s">
        <v>10</v>
      </c>
      <c r="H413" s="13">
        <v>293750</v>
      </c>
      <c r="I413" s="13">
        <v>0</v>
      </c>
      <c r="J413" s="12" t="s">
        <v>254</v>
      </c>
      <c r="K413" s="28" t="s">
        <v>263</v>
      </c>
    </row>
    <row r="414" spans="3:11" ht="15.5" thickTop="1" thickBot="1" x14ac:dyDescent="0.4">
      <c r="C414" s="26" t="s">
        <v>289</v>
      </c>
      <c r="D414" s="12">
        <v>95823</v>
      </c>
      <c r="E414" s="105" t="str">
        <f>IFERROR(VLOOKUP($D414,NUMDIST[],2,FALSE),"DA Non trouvéé")</f>
        <v>BUNIA - ETS CANAL BIA</v>
      </c>
      <c r="F414" s="12" t="s">
        <v>262</v>
      </c>
      <c r="G414" s="14" t="s">
        <v>4</v>
      </c>
      <c r="H414" s="13">
        <v>352500</v>
      </c>
      <c r="I414" s="13">
        <v>0</v>
      </c>
      <c r="J414" s="12" t="s">
        <v>254</v>
      </c>
      <c r="K414" s="28" t="s">
        <v>263</v>
      </c>
    </row>
    <row r="415" spans="3:11" ht="15.5" thickTop="1" thickBot="1" x14ac:dyDescent="0.4">
      <c r="C415" s="26" t="s">
        <v>289</v>
      </c>
      <c r="D415" s="12">
        <v>36710</v>
      </c>
      <c r="E415" s="105" t="str">
        <f>IFERROR(VLOOKUP($D415,NUMDIST[],2,FALSE),"DA Non trouvéé")</f>
        <v>BUNIA - BOUTIQUE JPS DM</v>
      </c>
      <c r="F415" s="12" t="s">
        <v>262</v>
      </c>
      <c r="G415" s="14" t="s">
        <v>19</v>
      </c>
      <c r="H415" s="13">
        <v>4134300</v>
      </c>
      <c r="I415" s="13">
        <v>0</v>
      </c>
      <c r="J415" s="12" t="s">
        <v>254</v>
      </c>
      <c r="K415" s="28" t="s">
        <v>263</v>
      </c>
    </row>
    <row r="416" spans="3:11" ht="15.5" thickTop="1" thickBot="1" x14ac:dyDescent="0.4">
      <c r="C416" s="26" t="s">
        <v>289</v>
      </c>
      <c r="D416" s="12">
        <v>87500</v>
      </c>
      <c r="E416" s="105" t="str">
        <f>IFERROR(VLOOKUP($D416,NUMDIST[],2,FALSE),"DA Non trouvéé")</f>
        <v>BUNIA - ETS DIEU MERCI</v>
      </c>
      <c r="F416" s="12" t="s">
        <v>262</v>
      </c>
      <c r="G416" s="14" t="s">
        <v>19</v>
      </c>
      <c r="H416" s="13">
        <v>253000</v>
      </c>
      <c r="I416" s="13">
        <v>0</v>
      </c>
      <c r="J416" s="12" t="s">
        <v>254</v>
      </c>
      <c r="K416" s="28" t="s">
        <v>263</v>
      </c>
    </row>
    <row r="417" spans="3:11" ht="15.5" thickTop="1" thickBot="1" x14ac:dyDescent="0.4">
      <c r="C417" s="26" t="s">
        <v>289</v>
      </c>
      <c r="D417" s="12">
        <v>34597</v>
      </c>
      <c r="E417" s="105" t="str">
        <f>IFERROR(VLOOKUP($D417,NUMDIST[],2,FALSE),"DA Non trouvéé")</f>
        <v>ETABLISSEMENT-  JPS DM BIGO</v>
      </c>
      <c r="F417" s="12" t="s">
        <v>262</v>
      </c>
      <c r="G417" s="14" t="s">
        <v>7</v>
      </c>
      <c r="H417" s="13">
        <v>1510000</v>
      </c>
      <c r="I417" s="13">
        <v>0</v>
      </c>
      <c r="J417" s="12" t="s">
        <v>254</v>
      </c>
      <c r="K417" s="28" t="s">
        <v>263</v>
      </c>
    </row>
    <row r="418" spans="3:11" ht="15.5" thickTop="1" thickBot="1" x14ac:dyDescent="0.4">
      <c r="C418" s="26" t="s">
        <v>289</v>
      </c>
      <c r="D418" s="12">
        <v>90134</v>
      </c>
      <c r="E418" s="105" t="str">
        <f>IFERROR(VLOOKUP($D418,NUMDIST[],2,FALSE),"DA Non trouvéé")</f>
        <v>KISANGANI - ETS SOLUTION PLUS</v>
      </c>
      <c r="F418" s="12" t="s">
        <v>262</v>
      </c>
      <c r="G418" s="14" t="s">
        <v>4</v>
      </c>
      <c r="H418" s="13">
        <v>599250</v>
      </c>
      <c r="I418" s="13">
        <v>0</v>
      </c>
      <c r="J418" s="12" t="s">
        <v>254</v>
      </c>
      <c r="K418" s="28" t="s">
        <v>263</v>
      </c>
    </row>
    <row r="419" spans="3:11" ht="15.5" thickTop="1" thickBot="1" x14ac:dyDescent="0.4">
      <c r="C419" s="26" t="s">
        <v>289</v>
      </c>
      <c r="D419" s="12">
        <v>95818</v>
      </c>
      <c r="E419" s="105" t="str">
        <f>IFERROR(VLOOKUP($D419,NUMDIST[],2,FALSE),"DA Non trouvéé")</f>
        <v>BUNIA - SHOP BLESSING</v>
      </c>
      <c r="F419" s="12" t="s">
        <v>262</v>
      </c>
      <c r="G419" s="14" t="s">
        <v>19</v>
      </c>
      <c r="H419" s="13">
        <v>235000</v>
      </c>
      <c r="I419" s="13">
        <v>0</v>
      </c>
      <c r="J419" s="12" t="s">
        <v>254</v>
      </c>
      <c r="K419" s="28" t="s">
        <v>263</v>
      </c>
    </row>
    <row r="420" spans="3:11" ht="15.5" thickTop="1" thickBot="1" x14ac:dyDescent="0.4">
      <c r="C420" s="26" t="s">
        <v>290</v>
      </c>
      <c r="D420" s="12">
        <v>99337</v>
      </c>
      <c r="E420" s="105" t="str">
        <f>IFERROR(VLOOKUP($D420,NUMDIST[],2,FALSE),"DA Non trouvéé")</f>
        <v>ISIRO - SHOP CHARA HOUSE</v>
      </c>
      <c r="F420" s="12" t="s">
        <v>262</v>
      </c>
      <c r="G420" s="14" t="s">
        <v>7</v>
      </c>
      <c r="H420" s="13">
        <v>1003450</v>
      </c>
      <c r="I420" s="13">
        <v>0</v>
      </c>
      <c r="J420" s="12" t="s">
        <v>254</v>
      </c>
      <c r="K420" s="28" t="s">
        <v>263</v>
      </c>
    </row>
    <row r="421" spans="3:11" ht="15.5" thickTop="1" thickBot="1" x14ac:dyDescent="0.4">
      <c r="C421" s="26" t="s">
        <v>290</v>
      </c>
      <c r="D421" s="12">
        <v>95818</v>
      </c>
      <c r="E421" s="105" t="str">
        <f>IFERROR(VLOOKUP($D421,NUMDIST[],2,FALSE),"DA Non trouvéé")</f>
        <v>BUNIA - SHOP BLESSING</v>
      </c>
      <c r="F421" s="12" t="s">
        <v>262</v>
      </c>
      <c r="G421" s="14" t="s">
        <v>19</v>
      </c>
      <c r="H421" s="13">
        <v>235000</v>
      </c>
      <c r="I421" s="13">
        <v>0</v>
      </c>
      <c r="J421" s="12" t="s">
        <v>254</v>
      </c>
      <c r="K421" s="28" t="s">
        <v>263</v>
      </c>
    </row>
    <row r="422" spans="3:11" ht="15.5" thickTop="1" thickBot="1" x14ac:dyDescent="0.4">
      <c r="C422" s="26" t="s">
        <v>290</v>
      </c>
      <c r="D422" s="12">
        <v>85186</v>
      </c>
      <c r="E422" s="105" t="str">
        <f>IFERROR(VLOOKUP($D422,NUMDIST[],2,FALSE),"DA Non trouvéé")</f>
        <v>BUNIA - PKANDROMA SHOP SAMS</v>
      </c>
      <c r="F422" s="12" t="s">
        <v>262</v>
      </c>
      <c r="G422" s="14" t="s">
        <v>19</v>
      </c>
      <c r="H422" s="13">
        <v>470000</v>
      </c>
      <c r="I422" s="13">
        <v>0</v>
      </c>
      <c r="J422" s="12" t="s">
        <v>254</v>
      </c>
      <c r="K422" s="28" t="s">
        <v>263</v>
      </c>
    </row>
    <row r="423" spans="3:11" ht="15.5" thickTop="1" thickBot="1" x14ac:dyDescent="0.4">
      <c r="C423" s="26" t="s">
        <v>290</v>
      </c>
      <c r="D423" s="12">
        <v>87012</v>
      </c>
      <c r="E423" s="105" t="str">
        <f>IFERROR(VLOOKUP($D423,NUMDIST[],2,FALSE),"DA Non trouvéé")</f>
        <v>BUNIA - ETS AIGLE</v>
      </c>
      <c r="F423" s="12" t="s">
        <v>262</v>
      </c>
      <c r="G423" s="14" t="s">
        <v>4</v>
      </c>
      <c r="H423" s="13">
        <v>235000</v>
      </c>
      <c r="I423" s="13">
        <v>0</v>
      </c>
      <c r="J423" s="12" t="s">
        <v>254</v>
      </c>
      <c r="K423" s="28" t="s">
        <v>263</v>
      </c>
    </row>
    <row r="424" spans="3:11" ht="15.5" thickTop="1" thickBot="1" x14ac:dyDescent="0.4">
      <c r="C424" s="26" t="s">
        <v>290</v>
      </c>
      <c r="D424" s="12">
        <v>95823</v>
      </c>
      <c r="E424" s="105" t="str">
        <f>IFERROR(VLOOKUP($D424,NUMDIST[],2,FALSE),"DA Non trouvéé")</f>
        <v>BUNIA - ETS CANAL BIA</v>
      </c>
      <c r="F424" s="12" t="s">
        <v>262</v>
      </c>
      <c r="G424" s="14" t="s">
        <v>19</v>
      </c>
      <c r="H424" s="13">
        <v>470000</v>
      </c>
      <c r="I424" s="13">
        <v>0</v>
      </c>
      <c r="J424" s="12" t="s">
        <v>254</v>
      </c>
      <c r="K424" s="28" t="s">
        <v>263</v>
      </c>
    </row>
    <row r="425" spans="3:11" ht="15.5" thickTop="1" thickBot="1" x14ac:dyDescent="0.4">
      <c r="C425" s="26" t="s">
        <v>290</v>
      </c>
      <c r="D425" s="12">
        <v>90192</v>
      </c>
      <c r="E425" s="105" t="str">
        <f>IFERROR(VLOOKUP($D425,NUMDIST[],2,FALSE),"DA Non trouvéé")</f>
        <v>BUKAVU - ETS LA GLOIRE</v>
      </c>
      <c r="F425" s="12" t="s">
        <v>262</v>
      </c>
      <c r="G425" s="14" t="s">
        <v>5</v>
      </c>
      <c r="H425" s="13">
        <v>305500</v>
      </c>
      <c r="I425" s="13">
        <v>0</v>
      </c>
      <c r="J425" s="12" t="s">
        <v>254</v>
      </c>
      <c r="K425" s="28" t="s">
        <v>263</v>
      </c>
    </row>
    <row r="426" spans="3:11" ht="15.5" thickTop="1" thickBot="1" x14ac:dyDescent="0.4">
      <c r="C426" s="26" t="s">
        <v>290</v>
      </c>
      <c r="D426" s="12">
        <v>87503</v>
      </c>
      <c r="E426" s="105" t="str">
        <f>IFERROR(VLOOKUP($D426,NUMDIST[],2,FALSE),"DA Non trouvéé")</f>
        <v>BUKAVU - ETS DIEU EST GRAND</v>
      </c>
      <c r="F426" s="12" t="s">
        <v>262</v>
      </c>
      <c r="G426" s="14" t="s">
        <v>7</v>
      </c>
      <c r="H426" s="13">
        <v>705000</v>
      </c>
      <c r="I426" s="13">
        <v>0</v>
      </c>
      <c r="J426" s="12" t="s">
        <v>254</v>
      </c>
      <c r="K426" s="28" t="s">
        <v>263</v>
      </c>
    </row>
    <row r="427" spans="3:11" ht="15.5" thickTop="1" thickBot="1" x14ac:dyDescent="0.4">
      <c r="C427" s="26" t="s">
        <v>290</v>
      </c>
      <c r="D427" s="12">
        <v>55350</v>
      </c>
      <c r="E427" s="105" t="str">
        <f>IFERROR(VLOOKUP($D427,NUMDIST[],2,FALSE),"DA Non trouvéé")</f>
        <v>OICHA - CLINIQUE ORDINATEURS</v>
      </c>
      <c r="F427" s="12" t="s">
        <v>262</v>
      </c>
      <c r="G427" s="14" t="s">
        <v>5</v>
      </c>
      <c r="H427" s="13">
        <v>277300</v>
      </c>
      <c r="I427" s="13">
        <v>0</v>
      </c>
      <c r="J427" s="12" t="s">
        <v>254</v>
      </c>
      <c r="K427" s="28" t="s">
        <v>263</v>
      </c>
    </row>
    <row r="428" spans="3:11" ht="15.5" thickTop="1" thickBot="1" x14ac:dyDescent="0.4">
      <c r="C428" s="26" t="s">
        <v>290</v>
      </c>
      <c r="D428" s="12">
        <v>36433</v>
      </c>
      <c r="E428" s="105" t="str">
        <f>IFERROR(VLOOKUP($D428,NUMDIST[],2,FALSE),"DA Non trouvéé")</f>
        <v>BUNIA - CHEZ JUSTIN</v>
      </c>
      <c r="F428" s="12" t="s">
        <v>262</v>
      </c>
      <c r="G428" s="14" t="s">
        <v>7</v>
      </c>
      <c r="H428" s="13">
        <v>1175000</v>
      </c>
      <c r="I428" s="13">
        <v>0</v>
      </c>
      <c r="J428" s="12" t="s">
        <v>254</v>
      </c>
      <c r="K428" s="28" t="s">
        <v>263</v>
      </c>
    </row>
    <row r="429" spans="3:11" ht="15.5" thickTop="1" thickBot="1" x14ac:dyDescent="0.4">
      <c r="C429" s="26" t="s">
        <v>290</v>
      </c>
      <c r="D429" s="12">
        <v>85827</v>
      </c>
      <c r="E429" s="105" t="str">
        <f>IFERROR(VLOOKUP($D429,NUMDIST[],2,FALSE),"DA Non trouvéé")</f>
        <v>KISANGANI - SHOP LA GRACE</v>
      </c>
      <c r="F429" s="12" t="s">
        <v>262</v>
      </c>
      <c r="G429" s="14" t="s">
        <v>7</v>
      </c>
      <c r="H429" s="13">
        <v>1057500</v>
      </c>
      <c r="I429" s="13">
        <v>0</v>
      </c>
      <c r="J429" s="12" t="s">
        <v>254</v>
      </c>
      <c r="K429" s="28" t="s">
        <v>263</v>
      </c>
    </row>
    <row r="430" spans="3:11" ht="15.5" thickTop="1" thickBot="1" x14ac:dyDescent="0.4">
      <c r="C430" s="26" t="s">
        <v>290</v>
      </c>
      <c r="D430" s="12">
        <v>84318</v>
      </c>
      <c r="E430" s="105" t="str">
        <f>IFERROR(VLOOKUP($D430,NUMDIST[],2,FALSE),"DA Non trouvéé")</f>
        <v>BUTEMBO - FONDATION RUMY</v>
      </c>
      <c r="F430" s="12" t="s">
        <v>262</v>
      </c>
      <c r="G430" s="14" t="s">
        <v>7</v>
      </c>
      <c r="H430" s="13">
        <v>470000</v>
      </c>
      <c r="I430" s="13">
        <v>0</v>
      </c>
      <c r="J430" s="12" t="s">
        <v>254</v>
      </c>
      <c r="K430" s="28" t="s">
        <v>263</v>
      </c>
    </row>
    <row r="431" spans="3:11" ht="15.5" thickTop="1" thickBot="1" x14ac:dyDescent="0.4">
      <c r="C431" s="26" t="s">
        <v>290</v>
      </c>
      <c r="D431" s="12">
        <v>42153</v>
      </c>
      <c r="E431" s="105" t="str">
        <f>IFERROR(VLOOKUP($D431,NUMDIST[],2,FALSE),"DA Non trouvéé")</f>
        <v>BUNIA - ETS SALEM</v>
      </c>
      <c r="F431" s="12" t="s">
        <v>262</v>
      </c>
      <c r="G431" s="14" t="s">
        <v>5</v>
      </c>
      <c r="H431" s="13">
        <v>235000</v>
      </c>
      <c r="I431" s="13">
        <v>0</v>
      </c>
      <c r="J431" s="12" t="s">
        <v>254</v>
      </c>
      <c r="K431" s="28" t="s">
        <v>263</v>
      </c>
    </row>
    <row r="432" spans="3:11" ht="15.5" thickTop="1" thickBot="1" x14ac:dyDescent="0.4">
      <c r="C432" s="26" t="s">
        <v>290</v>
      </c>
      <c r="D432" s="12">
        <v>104788</v>
      </c>
      <c r="E432" s="105" t="str">
        <f>IFERROR(VLOOKUP($D432,NUMDIST[],2,FALSE),"DA Non trouvéé")</f>
        <v>BUNIA - ETS DON DE DIEU</v>
      </c>
      <c r="F432" s="12" t="s">
        <v>262</v>
      </c>
      <c r="G432" s="14" t="s">
        <v>19</v>
      </c>
      <c r="H432" s="13">
        <v>235000</v>
      </c>
      <c r="I432" s="13">
        <v>0</v>
      </c>
      <c r="J432" s="12" t="s">
        <v>254</v>
      </c>
      <c r="K432" s="28" t="s">
        <v>263</v>
      </c>
    </row>
    <row r="433" spans="3:11" ht="15.5" thickTop="1" thickBot="1" x14ac:dyDescent="0.4">
      <c r="C433" s="26" t="s">
        <v>290</v>
      </c>
      <c r="D433" s="12">
        <v>87500</v>
      </c>
      <c r="E433" s="105" t="str">
        <f>IFERROR(VLOOKUP($D433,NUMDIST[],2,FALSE),"DA Non trouvéé")</f>
        <v>BUNIA - ETS DIEU MERCI</v>
      </c>
      <c r="F433" s="12" t="s">
        <v>262</v>
      </c>
      <c r="G433" s="14" t="s">
        <v>19</v>
      </c>
      <c r="H433" s="13">
        <v>235000</v>
      </c>
      <c r="I433" s="13">
        <v>0</v>
      </c>
      <c r="J433" s="12" t="s">
        <v>254</v>
      </c>
      <c r="K433" s="28" t="s">
        <v>263</v>
      </c>
    </row>
    <row r="434" spans="3:11" ht="15.5" thickTop="1" thickBot="1" x14ac:dyDescent="0.4">
      <c r="C434" s="26" t="s">
        <v>290</v>
      </c>
      <c r="D434" s="12">
        <v>36431</v>
      </c>
      <c r="E434" s="105" t="str">
        <f>IFERROR(VLOOKUP($D434,NUMDIST[],2,FALSE),"DA Non trouvéé")</f>
        <v>Isiro - MACAMPAGNE</v>
      </c>
      <c r="F434" s="12" t="s">
        <v>262</v>
      </c>
      <c r="G434" s="14" t="s">
        <v>8</v>
      </c>
      <c r="H434" s="13">
        <v>797500</v>
      </c>
      <c r="I434" s="13">
        <v>0</v>
      </c>
      <c r="J434" s="12" t="s">
        <v>254</v>
      </c>
      <c r="K434" s="28" t="s">
        <v>263</v>
      </c>
    </row>
    <row r="435" spans="3:11" ht="15.5" thickTop="1" thickBot="1" x14ac:dyDescent="0.4">
      <c r="C435" s="26" t="s">
        <v>290</v>
      </c>
      <c r="D435" s="12">
        <v>92117</v>
      </c>
      <c r="E435" s="105" t="str">
        <f>IFERROR(VLOOKUP($D435,NUMDIST[],2,FALSE),"DA Non trouvéé")</f>
        <v>KISANGANI - STAFF FLORY</v>
      </c>
      <c r="F435" s="12" t="s">
        <v>262</v>
      </c>
      <c r="G435" s="14" t="s">
        <v>7</v>
      </c>
      <c r="H435" s="13">
        <v>1175000</v>
      </c>
      <c r="I435" s="13">
        <v>0</v>
      </c>
      <c r="J435" s="12" t="s">
        <v>254</v>
      </c>
      <c r="K435" s="28" t="s">
        <v>263</v>
      </c>
    </row>
    <row r="436" spans="3:11" ht="15.5" thickTop="1" thickBot="1" x14ac:dyDescent="0.4">
      <c r="C436" s="26" t="s">
        <v>290</v>
      </c>
      <c r="D436" s="12">
        <v>71090</v>
      </c>
      <c r="E436" s="105" t="str">
        <f>IFERROR(VLOOKUP($D436,NUMDIST[],2,FALSE),"DA Non trouvéé")</f>
        <v>SHOP JULUX</v>
      </c>
      <c r="F436" s="12" t="s">
        <v>262</v>
      </c>
      <c r="G436" s="14" t="s">
        <v>7</v>
      </c>
      <c r="H436" s="13">
        <v>2350000</v>
      </c>
      <c r="I436" s="13">
        <v>0</v>
      </c>
      <c r="J436" s="12" t="s">
        <v>254</v>
      </c>
      <c r="K436" s="28" t="s">
        <v>263</v>
      </c>
    </row>
    <row r="437" spans="3:11" ht="15.5" thickTop="1" thickBot="1" x14ac:dyDescent="0.4">
      <c r="C437" s="26" t="s">
        <v>290</v>
      </c>
      <c r="D437" s="12">
        <v>36430</v>
      </c>
      <c r="E437" s="105" t="str">
        <f>IFERROR(VLOOKUP($D437,NUMDIST[],2,FALSE),"DA Non trouvéé")</f>
        <v>Bunia - ETS BOTOAFINE</v>
      </c>
      <c r="F437" s="12" t="s">
        <v>262</v>
      </c>
      <c r="G437" s="14" t="s">
        <v>19</v>
      </c>
      <c r="H437" s="13">
        <v>310250</v>
      </c>
      <c r="I437" s="13">
        <v>0</v>
      </c>
      <c r="J437" s="12" t="s">
        <v>254</v>
      </c>
      <c r="K437" s="28" t="s">
        <v>263</v>
      </c>
    </row>
    <row r="438" spans="3:11" ht="15.5" thickTop="1" thickBot="1" x14ac:dyDescent="0.4">
      <c r="C438" s="26" t="s">
        <v>290</v>
      </c>
      <c r="D438" s="12">
        <v>55349</v>
      </c>
      <c r="E438" s="105" t="str">
        <f>IFERROR(VLOOKUP($D438,NUMDIST[],2,FALSE),"DA Non trouvéé")</f>
        <v>ISIRO - LES AMIS</v>
      </c>
      <c r="F438" s="12" t="s">
        <v>262</v>
      </c>
      <c r="G438" s="14" t="s">
        <v>7</v>
      </c>
      <c r="H438" s="13">
        <v>446500</v>
      </c>
      <c r="I438" s="13">
        <v>0</v>
      </c>
      <c r="J438" s="12" t="s">
        <v>254</v>
      </c>
      <c r="K438" s="28" t="s">
        <v>263</v>
      </c>
    </row>
    <row r="439" spans="3:11" ht="15.5" thickTop="1" thickBot="1" x14ac:dyDescent="0.4">
      <c r="C439" s="26" t="s">
        <v>290</v>
      </c>
      <c r="D439" s="12">
        <v>55349</v>
      </c>
      <c r="E439" s="105" t="str">
        <f>IFERROR(VLOOKUP($D439,NUMDIST[],2,FALSE),"DA Non trouvéé")</f>
        <v>ISIRO - LES AMIS</v>
      </c>
      <c r="F439" s="12" t="s">
        <v>262</v>
      </c>
      <c r="G439" s="14" t="s">
        <v>7</v>
      </c>
      <c r="H439" s="13">
        <v>505250</v>
      </c>
      <c r="I439" s="13">
        <v>0</v>
      </c>
      <c r="J439" s="12" t="s">
        <v>254</v>
      </c>
      <c r="K439" s="28" t="s">
        <v>263</v>
      </c>
    </row>
    <row r="440" spans="3:11" ht="15.5" thickTop="1" thickBot="1" x14ac:dyDescent="0.4">
      <c r="C440" s="26" t="s">
        <v>290</v>
      </c>
      <c r="D440" s="12">
        <v>36710</v>
      </c>
      <c r="E440" s="105" t="str">
        <f>IFERROR(VLOOKUP($D440,NUMDIST[],2,FALSE),"DA Non trouvéé")</f>
        <v>BUNIA - BOUTIQUE JPS DM</v>
      </c>
      <c r="F440" s="12" t="s">
        <v>262</v>
      </c>
      <c r="G440" s="14" t="s">
        <v>19</v>
      </c>
      <c r="H440" s="13">
        <v>3000000</v>
      </c>
      <c r="I440" s="13">
        <v>0</v>
      </c>
      <c r="J440" s="12" t="s">
        <v>254</v>
      </c>
      <c r="K440" s="28" t="s">
        <v>263</v>
      </c>
    </row>
    <row r="441" spans="3:11" ht="15.5" thickTop="1" thickBot="1" x14ac:dyDescent="0.4">
      <c r="C441" s="26" t="s">
        <v>290</v>
      </c>
      <c r="D441" s="12">
        <v>59057</v>
      </c>
      <c r="E441" s="105" t="str">
        <f>IFERROR(VLOOKUP($D441,NUMDIST[],2,FALSE),"DA Non trouvéé")</f>
        <v>ITURI - ETS BJSE</v>
      </c>
      <c r="F441" s="12" t="s">
        <v>262</v>
      </c>
      <c r="G441" s="14" t="s">
        <v>19</v>
      </c>
      <c r="H441" s="13">
        <v>1410000</v>
      </c>
      <c r="I441" s="13">
        <v>0</v>
      </c>
      <c r="J441" s="12" t="s">
        <v>254</v>
      </c>
      <c r="K441" s="28" t="s">
        <v>263</v>
      </c>
    </row>
    <row r="442" spans="3:11" ht="15.5" thickTop="1" thickBot="1" x14ac:dyDescent="0.4">
      <c r="C442" s="26" t="s">
        <v>290</v>
      </c>
      <c r="D442" s="12">
        <v>54298</v>
      </c>
      <c r="E442" s="105" t="str">
        <f>IFERROR(VLOOKUP($D442,NUMDIST[],2,FALSE),"DA Non trouvéé")</f>
        <v>KIVU - SHOP SATELLITE</v>
      </c>
      <c r="F442" s="12" t="s">
        <v>262</v>
      </c>
      <c r="G442" s="14" t="s">
        <v>5</v>
      </c>
      <c r="H442" s="13">
        <v>587500</v>
      </c>
      <c r="I442" s="13">
        <v>0</v>
      </c>
      <c r="J442" s="12" t="s">
        <v>254</v>
      </c>
      <c r="K442" s="28" t="s">
        <v>263</v>
      </c>
    </row>
    <row r="443" spans="3:11" ht="15.5" thickTop="1" thickBot="1" x14ac:dyDescent="0.4">
      <c r="C443" s="26" t="s">
        <v>290</v>
      </c>
      <c r="D443" s="12">
        <v>91393</v>
      </c>
      <c r="E443" s="105" t="str">
        <f>IFERROR(VLOOKUP($D443,NUMDIST[],2,FALSE),"DA Non trouvéé")</f>
        <v>GOMA - LYDIE BUSINESS</v>
      </c>
      <c r="F443" s="12" t="s">
        <v>262</v>
      </c>
      <c r="G443" s="14" t="s">
        <v>5</v>
      </c>
      <c r="H443" s="13">
        <v>235000</v>
      </c>
      <c r="I443" s="13">
        <v>0</v>
      </c>
      <c r="J443" s="12" t="s">
        <v>254</v>
      </c>
      <c r="K443" s="28" t="s">
        <v>263</v>
      </c>
    </row>
    <row r="444" spans="3:11" ht="15.5" thickTop="1" thickBot="1" x14ac:dyDescent="0.4">
      <c r="C444" s="26" t="s">
        <v>290</v>
      </c>
      <c r="D444" s="12">
        <v>55351</v>
      </c>
      <c r="E444" s="105" t="str">
        <f>IFERROR(VLOOKUP($D444,NUMDIST[],2,FALSE),"DA Non trouvéé")</f>
        <v>ITURI - PARADOXE BUSINESS</v>
      </c>
      <c r="F444" s="12" t="s">
        <v>262</v>
      </c>
      <c r="G444" s="14" t="s">
        <v>7</v>
      </c>
      <c r="H444" s="13">
        <v>705000</v>
      </c>
      <c r="I444" s="13">
        <v>0</v>
      </c>
      <c r="J444" s="12" t="s">
        <v>254</v>
      </c>
      <c r="K444" s="28" t="s">
        <v>263</v>
      </c>
    </row>
    <row r="445" spans="3:11" ht="15.5" thickTop="1" thickBot="1" x14ac:dyDescent="0.4">
      <c r="C445" s="26" t="s">
        <v>290</v>
      </c>
      <c r="D445" s="81">
        <v>104789</v>
      </c>
      <c r="E445" s="105" t="str">
        <f>IFERROR(VLOOKUP($D445,NUMDIST[],2,FALSE),"DA Non trouvéé")</f>
        <v>WATHSA - SHOP SALEM</v>
      </c>
      <c r="F445" s="12" t="s">
        <v>262</v>
      </c>
      <c r="G445" s="14" t="s">
        <v>8</v>
      </c>
      <c r="H445" s="13">
        <v>400000</v>
      </c>
      <c r="I445" s="13">
        <v>0</v>
      </c>
      <c r="J445" s="12" t="s">
        <v>254</v>
      </c>
      <c r="K445" s="28" t="s">
        <v>263</v>
      </c>
    </row>
    <row r="446" spans="3:11" ht="15.5" thickTop="1" thickBot="1" x14ac:dyDescent="0.4">
      <c r="C446" s="26" t="s">
        <v>290</v>
      </c>
      <c r="D446" s="12">
        <v>95820</v>
      </c>
      <c r="E446" s="105" t="str">
        <f>IFERROR(VLOOKUP($D446,NUMDIST[],2,FALSE),"DA Non trouvéé")</f>
        <v>MONGWALU - MAISON INTEMPORELLE</v>
      </c>
      <c r="F446" s="12" t="s">
        <v>262</v>
      </c>
      <c r="G446" s="14" t="s">
        <v>4</v>
      </c>
      <c r="H446" s="13">
        <v>599250</v>
      </c>
      <c r="I446" s="13">
        <v>0</v>
      </c>
      <c r="J446" s="12" t="s">
        <v>254</v>
      </c>
      <c r="K446" s="28" t="s">
        <v>263</v>
      </c>
    </row>
    <row r="447" spans="3:11" ht="15.5" thickTop="1" thickBot="1" x14ac:dyDescent="0.4">
      <c r="C447" s="26" t="s">
        <v>290</v>
      </c>
      <c r="D447" s="12">
        <v>55350</v>
      </c>
      <c r="E447" s="105" t="str">
        <f>IFERROR(VLOOKUP($D447,NUMDIST[],2,FALSE),"DA Non trouvéé")</f>
        <v>OICHA - CLINIQUE ORDINATEURS</v>
      </c>
      <c r="F447" s="12" t="s">
        <v>262</v>
      </c>
      <c r="G447" s="14" t="s">
        <v>5</v>
      </c>
      <c r="H447" s="13">
        <v>258500</v>
      </c>
      <c r="I447" s="13">
        <v>0</v>
      </c>
      <c r="J447" s="12" t="s">
        <v>254</v>
      </c>
      <c r="K447" s="28" t="s">
        <v>263</v>
      </c>
    </row>
    <row r="448" spans="3:11" ht="15.5" thickTop="1" thickBot="1" x14ac:dyDescent="0.4">
      <c r="C448" s="26" t="s">
        <v>290</v>
      </c>
      <c r="D448" s="12">
        <v>90171</v>
      </c>
      <c r="E448" s="105" t="str">
        <f>IFERROR(VLOOKUP($D448,NUMDIST[],2,FALSE),"DA Non trouvéé")</f>
        <v>BUNIA - ETS KAGL</v>
      </c>
      <c r="F448" s="12" t="s">
        <v>262</v>
      </c>
      <c r="G448" s="14" t="s">
        <v>19</v>
      </c>
      <c r="H448" s="13">
        <v>235000</v>
      </c>
      <c r="I448" s="13">
        <v>0</v>
      </c>
      <c r="J448" s="12" t="s">
        <v>254</v>
      </c>
      <c r="K448" s="28" t="s">
        <v>263</v>
      </c>
    </row>
    <row r="449" spans="3:11" ht="15.5" thickTop="1" thickBot="1" x14ac:dyDescent="0.4">
      <c r="C449" s="26" t="s">
        <v>290</v>
      </c>
      <c r="D449" s="12">
        <v>95817</v>
      </c>
      <c r="E449" s="105" t="str">
        <f>IFERROR(VLOOKUP($D449,NUMDIST[],2,FALSE),"DA Non trouvéé")</f>
        <v>BUNIA - YESU NI JIBU</v>
      </c>
      <c r="F449" s="12" t="s">
        <v>262</v>
      </c>
      <c r="G449" s="14" t="s">
        <v>4</v>
      </c>
      <c r="H449" s="13">
        <v>235000</v>
      </c>
      <c r="I449" s="13">
        <v>0</v>
      </c>
      <c r="J449" s="12" t="s">
        <v>254</v>
      </c>
      <c r="K449" s="28" t="s">
        <v>263</v>
      </c>
    </row>
    <row r="450" spans="3:11" ht="15.5" thickTop="1" thickBot="1" x14ac:dyDescent="0.4">
      <c r="C450" s="26" t="s">
        <v>290</v>
      </c>
      <c r="D450" s="12">
        <v>42153</v>
      </c>
      <c r="E450" s="105" t="str">
        <f>IFERROR(VLOOKUP($D450,NUMDIST[],2,FALSE),"DA Non trouvéé")</f>
        <v>BUNIA - ETS SALEM</v>
      </c>
      <c r="F450" s="12" t="s">
        <v>262</v>
      </c>
      <c r="G450" s="14" t="s">
        <v>4</v>
      </c>
      <c r="H450" s="13">
        <v>446500</v>
      </c>
      <c r="I450" s="13">
        <v>0</v>
      </c>
      <c r="J450" s="12" t="s">
        <v>254</v>
      </c>
      <c r="K450" s="28" t="s">
        <v>263</v>
      </c>
    </row>
    <row r="451" spans="3:11" ht="15.5" thickTop="1" thickBot="1" x14ac:dyDescent="0.4">
      <c r="C451" s="26" t="s">
        <v>290</v>
      </c>
      <c r="D451" s="12">
        <v>90180</v>
      </c>
      <c r="E451" s="105" t="str">
        <f>IFERROR(VLOOKUP($D451,NUMDIST[],2,FALSE),"DA Non trouvéé")</f>
        <v>BUNIA - ETS DON BENIT</v>
      </c>
      <c r="F451" s="12" t="s">
        <v>262</v>
      </c>
      <c r="G451" s="14" t="s">
        <v>19</v>
      </c>
      <c r="H451" s="13">
        <v>282000</v>
      </c>
      <c r="I451" s="13">
        <v>0</v>
      </c>
      <c r="J451" s="12" t="s">
        <v>254</v>
      </c>
      <c r="K451" s="28" t="s">
        <v>263</v>
      </c>
    </row>
    <row r="452" spans="3:11" ht="15.5" thickTop="1" thickBot="1" x14ac:dyDescent="0.4">
      <c r="C452" s="26" t="s">
        <v>290</v>
      </c>
      <c r="D452" s="12">
        <v>81598</v>
      </c>
      <c r="E452" s="105" t="str">
        <f>IFERROR(VLOOKUP($D452,NUMDIST[],2,FALSE),"DA Non trouvéé")</f>
        <v>KASINDI - TECHNICAL CARE</v>
      </c>
      <c r="F452" s="12" t="s">
        <v>262</v>
      </c>
      <c r="G452" s="14" t="s">
        <v>4</v>
      </c>
      <c r="H452" s="13">
        <v>1173000</v>
      </c>
      <c r="I452" s="13">
        <v>0</v>
      </c>
      <c r="J452" s="12" t="s">
        <v>254</v>
      </c>
      <c r="K452" s="28" t="s">
        <v>263</v>
      </c>
    </row>
    <row r="453" spans="3:11" ht="15.5" thickTop="1" thickBot="1" x14ac:dyDescent="0.4">
      <c r="C453" s="26" t="s">
        <v>290</v>
      </c>
      <c r="D453" s="12">
        <v>95818</v>
      </c>
      <c r="E453" s="105" t="str">
        <f>IFERROR(VLOOKUP($D453,NUMDIST[],2,FALSE),"DA Non trouvéé")</f>
        <v>BUNIA - SHOP BLESSING</v>
      </c>
      <c r="F453" s="12" t="s">
        <v>262</v>
      </c>
      <c r="G453" s="14" t="s">
        <v>19</v>
      </c>
      <c r="H453" s="13">
        <v>235000</v>
      </c>
      <c r="I453" s="13">
        <v>0</v>
      </c>
      <c r="J453" s="12" t="s">
        <v>254</v>
      </c>
      <c r="K453" s="28" t="s">
        <v>263</v>
      </c>
    </row>
    <row r="454" spans="3:11" ht="15.5" thickTop="1" thickBot="1" x14ac:dyDescent="0.4">
      <c r="C454" s="26" t="s">
        <v>290</v>
      </c>
      <c r="D454" s="12">
        <v>42152</v>
      </c>
      <c r="E454" s="105" t="str">
        <f>IFERROR(VLOOKUP($D454,NUMDIST[],2,FALSE),"DA Non trouvéé")</f>
        <v>Bunia - Ets SKY</v>
      </c>
      <c r="F454" s="12" t="s">
        <v>262</v>
      </c>
      <c r="G454" s="14" t="s">
        <v>10</v>
      </c>
      <c r="H454" s="13">
        <v>1431500</v>
      </c>
      <c r="I454" s="13">
        <v>0</v>
      </c>
      <c r="J454" s="12" t="s">
        <v>254</v>
      </c>
      <c r="K454" s="28" t="s">
        <v>263</v>
      </c>
    </row>
    <row r="455" spans="3:11" ht="15.5" thickTop="1" thickBot="1" x14ac:dyDescent="0.4">
      <c r="C455" s="26" t="s">
        <v>290</v>
      </c>
      <c r="D455" s="12">
        <v>34597</v>
      </c>
      <c r="E455" s="105" t="str">
        <f>IFERROR(VLOOKUP($D455,NUMDIST[],2,FALSE),"DA Non trouvéé")</f>
        <v>ETABLISSEMENT-  JPS DM BIGO</v>
      </c>
      <c r="F455" s="12" t="s">
        <v>262</v>
      </c>
      <c r="G455" s="14" t="s">
        <v>7</v>
      </c>
      <c r="H455" s="13">
        <v>740250</v>
      </c>
      <c r="I455" s="13">
        <v>0</v>
      </c>
      <c r="J455" s="12" t="s">
        <v>254</v>
      </c>
      <c r="K455" s="28" t="s">
        <v>263</v>
      </c>
    </row>
    <row r="456" spans="3:11" ht="15.5" thickTop="1" thickBot="1" x14ac:dyDescent="0.4">
      <c r="C456" s="26" t="s">
        <v>290</v>
      </c>
      <c r="D456" s="12">
        <v>90171</v>
      </c>
      <c r="E456" s="105" t="str">
        <f>IFERROR(VLOOKUP($D456,NUMDIST[],2,FALSE),"DA Non trouvéé")</f>
        <v>BUNIA - ETS KAGL</v>
      </c>
      <c r="F456" s="12" t="s">
        <v>262</v>
      </c>
      <c r="G456" s="14" t="s">
        <v>19</v>
      </c>
      <c r="H456" s="13">
        <v>235000</v>
      </c>
      <c r="I456" s="13">
        <v>0</v>
      </c>
      <c r="J456" s="12" t="s">
        <v>254</v>
      </c>
      <c r="K456" s="28" t="s">
        <v>263</v>
      </c>
    </row>
    <row r="457" spans="3:11" ht="15.5" thickTop="1" thickBot="1" x14ac:dyDescent="0.4">
      <c r="C457" s="26" t="s">
        <v>290</v>
      </c>
      <c r="D457" s="12">
        <v>71087</v>
      </c>
      <c r="E457" s="105" t="str">
        <f>IFERROR(VLOOKUP($D457,NUMDIST[],2,FALSE),"DA Non trouvéé")</f>
        <v>ETS CALIFORNIE</v>
      </c>
      <c r="F457" s="12" t="s">
        <v>262</v>
      </c>
      <c r="G457" s="14" t="s">
        <v>19</v>
      </c>
      <c r="H457" s="13">
        <v>282000</v>
      </c>
      <c r="I457" s="13">
        <v>0</v>
      </c>
      <c r="J457" s="12" t="s">
        <v>254</v>
      </c>
      <c r="K457" s="28" t="s">
        <v>263</v>
      </c>
    </row>
    <row r="458" spans="3:11" ht="15.5" thickTop="1" thickBot="1" x14ac:dyDescent="0.4">
      <c r="C458" s="26" t="s">
        <v>290</v>
      </c>
      <c r="D458" s="12">
        <v>106811</v>
      </c>
      <c r="E458" s="105" t="str">
        <f>IFERROR(VLOOKUP($D458,NUMDIST[],2,FALSE),"DA Non trouvéé")</f>
        <v>SAMBIA - ETS LETA FILS</v>
      </c>
      <c r="F458" s="12" t="s">
        <v>262</v>
      </c>
      <c r="G458" s="14" t="s">
        <v>4</v>
      </c>
      <c r="H458" s="13">
        <v>299000</v>
      </c>
      <c r="I458" s="13">
        <v>0</v>
      </c>
      <c r="J458" s="12" t="s">
        <v>254</v>
      </c>
      <c r="K458" s="28" t="s">
        <v>263</v>
      </c>
    </row>
    <row r="459" spans="3:11" ht="15.5" thickTop="1" thickBot="1" x14ac:dyDescent="0.4">
      <c r="C459" s="26" t="s">
        <v>290</v>
      </c>
      <c r="D459" s="12">
        <v>90176</v>
      </c>
      <c r="E459" s="105" t="str">
        <f>IFERROR(VLOOKUP($D459,NUMDIST[],2,FALSE),"DA Non trouvéé")</f>
        <v>BUNIA - SHOP MATATA</v>
      </c>
      <c r="F459" s="12" t="s">
        <v>262</v>
      </c>
      <c r="G459" s="14" t="s">
        <v>7</v>
      </c>
      <c r="H459" s="13">
        <v>470000</v>
      </c>
      <c r="I459" s="13">
        <v>0</v>
      </c>
      <c r="J459" s="12" t="s">
        <v>254</v>
      </c>
      <c r="K459" s="28" t="s">
        <v>263</v>
      </c>
    </row>
    <row r="460" spans="3:11" ht="15.5" thickTop="1" thickBot="1" x14ac:dyDescent="0.4">
      <c r="C460" s="26" t="s">
        <v>290</v>
      </c>
      <c r="D460" s="12">
        <v>95816</v>
      </c>
      <c r="E460" s="105" t="str">
        <f>IFERROR(VLOOKUP($D460,NUMDIST[],2,FALSE),"DA Non trouvéé")</f>
        <v>DURBA - RIEN EST IMOPOBLE</v>
      </c>
      <c r="F460" s="12" t="s">
        <v>262</v>
      </c>
      <c r="G460" s="14" t="s">
        <v>5</v>
      </c>
      <c r="H460" s="13">
        <v>470000</v>
      </c>
      <c r="I460" s="13">
        <v>0</v>
      </c>
      <c r="J460" s="12" t="s">
        <v>254</v>
      </c>
      <c r="K460" s="28" t="s">
        <v>263</v>
      </c>
    </row>
    <row r="461" spans="3:11" ht="15.5" thickTop="1" thickBot="1" x14ac:dyDescent="0.4">
      <c r="C461" s="26" t="s">
        <v>290</v>
      </c>
      <c r="D461" s="12">
        <v>36710</v>
      </c>
      <c r="E461" s="105" t="str">
        <f>IFERROR(VLOOKUP($D461,NUMDIST[],2,FALSE),"DA Non trouvéé")</f>
        <v>BUNIA - BOUTIQUE JPS DM</v>
      </c>
      <c r="F461" s="12" t="s">
        <v>262</v>
      </c>
      <c r="G461" s="14" t="s">
        <v>19</v>
      </c>
      <c r="H461" s="13">
        <v>613500</v>
      </c>
      <c r="I461" s="13">
        <v>0</v>
      </c>
      <c r="J461" s="12" t="s">
        <v>254</v>
      </c>
      <c r="K461" s="28" t="s">
        <v>263</v>
      </c>
    </row>
    <row r="462" spans="3:11" ht="15.5" thickTop="1" thickBot="1" x14ac:dyDescent="0.4">
      <c r="C462" s="26" t="s">
        <v>290</v>
      </c>
      <c r="D462" s="12">
        <v>36272</v>
      </c>
      <c r="E462" s="105" t="str">
        <f>IFERROR(VLOOKUP($D462,NUMDIST[],2,FALSE),"DA Non trouvéé")</f>
        <v>BUNIA - JPS DM</v>
      </c>
      <c r="F462" s="12" t="s">
        <v>273</v>
      </c>
      <c r="G462" s="14" t="s">
        <v>7</v>
      </c>
      <c r="H462" s="13">
        <v>0</v>
      </c>
      <c r="I462" s="13">
        <v>70500000</v>
      </c>
      <c r="J462" s="12" t="s">
        <v>254</v>
      </c>
      <c r="K462" s="28" t="s">
        <v>276</v>
      </c>
    </row>
    <row r="463" spans="3:11" ht="15.5" thickTop="1" thickBot="1" x14ac:dyDescent="0.4">
      <c r="C463" s="26" t="s">
        <v>290</v>
      </c>
      <c r="D463" s="12">
        <v>90162</v>
      </c>
      <c r="E463" s="105" t="str">
        <f>IFERROR(VLOOKUP($D463,NUMDIST[],2,FALSE),"DA Non trouvéé")</f>
        <v>GOMA - ETS AKHIM</v>
      </c>
      <c r="F463" s="12" t="s">
        <v>262</v>
      </c>
      <c r="G463" s="14" t="s">
        <v>5</v>
      </c>
      <c r="H463" s="13">
        <v>1175000</v>
      </c>
      <c r="I463" s="13">
        <v>0</v>
      </c>
      <c r="J463" s="12" t="s">
        <v>254</v>
      </c>
      <c r="K463" s="28" t="s">
        <v>263</v>
      </c>
    </row>
    <row r="464" spans="3:11" ht="15.5" thickTop="1" thickBot="1" x14ac:dyDescent="0.4">
      <c r="C464" s="26" t="s">
        <v>291</v>
      </c>
      <c r="D464" s="12">
        <v>59057</v>
      </c>
      <c r="E464" s="105" t="str">
        <f>IFERROR(VLOOKUP($D464,NUMDIST[],2,FALSE),"DA Non trouvéé")</f>
        <v>ITURI - ETS BJSE</v>
      </c>
      <c r="F464" s="12" t="s">
        <v>262</v>
      </c>
      <c r="G464" s="14" t="s">
        <v>19</v>
      </c>
      <c r="H464" s="13">
        <v>1175000</v>
      </c>
      <c r="I464" s="13">
        <v>0</v>
      </c>
      <c r="J464" s="12" t="s">
        <v>254</v>
      </c>
      <c r="K464" s="28" t="s">
        <v>263</v>
      </c>
    </row>
    <row r="465" spans="3:11" ht="15.5" thickTop="1" thickBot="1" x14ac:dyDescent="0.4">
      <c r="C465" s="26" t="s">
        <v>291</v>
      </c>
      <c r="D465" s="12">
        <v>42153</v>
      </c>
      <c r="E465" s="105" t="str">
        <f>IFERROR(VLOOKUP($D465,NUMDIST[],2,FALSE),"DA Non trouvéé")</f>
        <v>BUNIA - ETS SALEM</v>
      </c>
      <c r="F465" s="12" t="s">
        <v>262</v>
      </c>
      <c r="G465" s="14" t="s">
        <v>4</v>
      </c>
      <c r="H465" s="13">
        <v>246750</v>
      </c>
      <c r="I465" s="13">
        <v>0</v>
      </c>
      <c r="J465" s="12" t="s">
        <v>254</v>
      </c>
      <c r="K465" s="28" t="s">
        <v>263</v>
      </c>
    </row>
    <row r="466" spans="3:11" ht="15.5" thickTop="1" thickBot="1" x14ac:dyDescent="0.4">
      <c r="C466" s="26" t="s">
        <v>291</v>
      </c>
      <c r="D466" s="12">
        <v>95816</v>
      </c>
      <c r="E466" s="105" t="str">
        <f>IFERROR(VLOOKUP($D466,NUMDIST[],2,FALSE),"DA Non trouvéé")</f>
        <v>DURBA - RIEN EST IMOPOBLE</v>
      </c>
      <c r="F466" s="12" t="s">
        <v>262</v>
      </c>
      <c r="G466" s="14" t="s">
        <v>5</v>
      </c>
      <c r="H466" s="13">
        <v>587500</v>
      </c>
      <c r="I466" s="13">
        <v>0</v>
      </c>
      <c r="J466" s="12" t="s">
        <v>254</v>
      </c>
      <c r="K466" s="28" t="s">
        <v>263</v>
      </c>
    </row>
    <row r="467" spans="3:11" ht="15.5" thickTop="1" thickBot="1" x14ac:dyDescent="0.4">
      <c r="C467" s="26" t="s">
        <v>291</v>
      </c>
      <c r="D467" s="12">
        <v>95818</v>
      </c>
      <c r="E467" s="105" t="str">
        <f>IFERROR(VLOOKUP($D467,NUMDIST[],2,FALSE),"DA Non trouvéé")</f>
        <v>BUNIA - SHOP BLESSING</v>
      </c>
      <c r="F467" s="12" t="s">
        <v>262</v>
      </c>
      <c r="G467" s="14" t="s">
        <v>19</v>
      </c>
      <c r="H467" s="13">
        <v>235000</v>
      </c>
      <c r="I467" s="13">
        <v>0</v>
      </c>
      <c r="J467" s="12" t="s">
        <v>254</v>
      </c>
      <c r="K467" s="28" t="s">
        <v>263</v>
      </c>
    </row>
    <row r="468" spans="3:11" ht="15.5" thickTop="1" thickBot="1" x14ac:dyDescent="0.4">
      <c r="C468" s="26" t="s">
        <v>291</v>
      </c>
      <c r="D468" s="12">
        <v>103896</v>
      </c>
      <c r="E468" s="105" t="str">
        <f>IFERROR(VLOOKUP($D468,NUMDIST[],2,FALSE),"DA Non trouvéé")</f>
        <v>VAD JPS MAHAGI</v>
      </c>
      <c r="F468" s="12" t="s">
        <v>262</v>
      </c>
      <c r="G468" s="14" t="s">
        <v>6</v>
      </c>
      <c r="H468" s="13">
        <v>150000</v>
      </c>
      <c r="I468" s="13">
        <v>0</v>
      </c>
      <c r="J468" s="12" t="s">
        <v>15</v>
      </c>
      <c r="K468" s="28" t="s">
        <v>263</v>
      </c>
    </row>
    <row r="469" spans="3:11" ht="15.5" thickTop="1" thickBot="1" x14ac:dyDescent="0.4">
      <c r="C469" s="26" t="s">
        <v>291</v>
      </c>
      <c r="D469" s="12">
        <v>36430</v>
      </c>
      <c r="E469" s="105" t="str">
        <f>IFERROR(VLOOKUP($D469,NUMDIST[],2,FALSE),"DA Non trouvéé")</f>
        <v>Bunia - ETS BOTOAFINE</v>
      </c>
      <c r="F469" s="12" t="s">
        <v>262</v>
      </c>
      <c r="G469" s="14" t="s">
        <v>19</v>
      </c>
      <c r="H469" s="13">
        <v>388000</v>
      </c>
      <c r="I469" s="13">
        <v>0</v>
      </c>
      <c r="J469" s="12" t="s">
        <v>254</v>
      </c>
      <c r="K469" s="28" t="s">
        <v>263</v>
      </c>
    </row>
    <row r="470" spans="3:11" ht="15.5" thickTop="1" thickBot="1" x14ac:dyDescent="0.4">
      <c r="C470" s="26" t="s">
        <v>291</v>
      </c>
      <c r="D470" s="12">
        <v>55350</v>
      </c>
      <c r="E470" s="105" t="str">
        <f>IFERROR(VLOOKUP($D470,NUMDIST[],2,FALSE),"DA Non trouvéé")</f>
        <v>OICHA - CLINIQUE ORDINATEURS</v>
      </c>
      <c r="F470" s="12" t="s">
        <v>262</v>
      </c>
      <c r="G470" s="14" t="s">
        <v>5</v>
      </c>
      <c r="H470" s="13">
        <v>250000</v>
      </c>
      <c r="I470" s="13">
        <v>0</v>
      </c>
      <c r="J470" s="12" t="s">
        <v>254</v>
      </c>
      <c r="K470" s="28" t="s">
        <v>263</v>
      </c>
    </row>
    <row r="471" spans="3:11" ht="15.5" thickTop="1" thickBot="1" x14ac:dyDescent="0.4">
      <c r="C471" s="26" t="s">
        <v>291</v>
      </c>
      <c r="D471" s="12">
        <v>87013</v>
      </c>
      <c r="E471" s="105" t="str">
        <f>IFERROR(VLOOKUP($D471,NUMDIST[],2,FALSE),"DA Non trouvéé")</f>
        <v>BUNIA - JC SANS TACHES</v>
      </c>
      <c r="F471" s="12" t="s">
        <v>262</v>
      </c>
      <c r="G471" s="14" t="s">
        <v>4</v>
      </c>
      <c r="H471" s="13">
        <v>630000</v>
      </c>
      <c r="I471" s="13">
        <v>0</v>
      </c>
      <c r="J471" s="12" t="s">
        <v>254</v>
      </c>
      <c r="K471" s="28" t="s">
        <v>263</v>
      </c>
    </row>
    <row r="472" spans="3:11" ht="15.5" thickTop="1" thickBot="1" x14ac:dyDescent="0.4">
      <c r="C472" s="26" t="s">
        <v>291</v>
      </c>
      <c r="D472" s="12">
        <v>87500</v>
      </c>
      <c r="E472" s="105" t="str">
        <f>IFERROR(VLOOKUP($D472,NUMDIST[],2,FALSE),"DA Non trouvéé")</f>
        <v>BUNIA - ETS DIEU MERCI</v>
      </c>
      <c r="F472" s="12" t="s">
        <v>262</v>
      </c>
      <c r="G472" s="14" t="s">
        <v>19</v>
      </c>
      <c r="H472" s="13">
        <v>235000</v>
      </c>
      <c r="I472" s="13">
        <v>0</v>
      </c>
      <c r="J472" s="12" t="s">
        <v>254</v>
      </c>
      <c r="K472" s="28" t="s">
        <v>263</v>
      </c>
    </row>
    <row r="473" spans="3:11" ht="15.5" thickTop="1" thickBot="1" x14ac:dyDescent="0.4">
      <c r="C473" s="26" t="s">
        <v>291</v>
      </c>
      <c r="D473" s="12">
        <v>90141</v>
      </c>
      <c r="E473" s="105" t="str">
        <f>IFERROR(VLOOKUP($D473,NUMDIST[],2,FALSE),"DA Non trouvéé")</f>
        <v>GOMA - ETS SHOP ANUARITE</v>
      </c>
      <c r="F473" s="12" t="s">
        <v>262</v>
      </c>
      <c r="G473" s="14" t="s">
        <v>5</v>
      </c>
      <c r="H473" s="13">
        <v>235000</v>
      </c>
      <c r="I473" s="13">
        <v>0</v>
      </c>
      <c r="J473" s="12" t="s">
        <v>254</v>
      </c>
      <c r="K473" s="28" t="s">
        <v>263</v>
      </c>
    </row>
    <row r="474" spans="3:11" ht="15.5" thickTop="1" thickBot="1" x14ac:dyDescent="0.4">
      <c r="C474" s="26" t="s">
        <v>291</v>
      </c>
      <c r="D474" s="12">
        <v>36112</v>
      </c>
      <c r="E474" s="105" t="str">
        <f>IFERROR(VLOOKUP($D474,NUMDIST[],2,FALSE),"DA Non trouvéé")</f>
        <v>SUD KIVU - ETS AGRIPPINE</v>
      </c>
      <c r="F474" s="12" t="s">
        <v>262</v>
      </c>
      <c r="G474" s="14" t="s">
        <v>5</v>
      </c>
      <c r="H474" s="13">
        <v>200000</v>
      </c>
      <c r="I474" s="13">
        <v>0</v>
      </c>
      <c r="J474" s="12" t="s">
        <v>254</v>
      </c>
      <c r="K474" s="28" t="s">
        <v>263</v>
      </c>
    </row>
    <row r="475" spans="3:11" ht="15.5" thickTop="1" thickBot="1" x14ac:dyDescent="0.4">
      <c r="C475" s="26" t="s">
        <v>291</v>
      </c>
      <c r="D475" s="12">
        <v>90184</v>
      </c>
      <c r="E475" s="105" t="str">
        <f>IFERROR(VLOOKUP($D475,NUMDIST[],2,FALSE),"DA Non trouvéé")</f>
        <v>BUNIA - ETS MOISE MESO</v>
      </c>
      <c r="F475" s="12" t="s">
        <v>262</v>
      </c>
      <c r="G475" s="14" t="s">
        <v>19</v>
      </c>
      <c r="H475" s="13">
        <v>470000</v>
      </c>
      <c r="I475" s="13">
        <v>0</v>
      </c>
      <c r="J475" s="12" t="s">
        <v>254</v>
      </c>
      <c r="K475" s="28" t="s">
        <v>263</v>
      </c>
    </row>
    <row r="476" spans="3:11" ht="15.5" thickTop="1" thickBot="1" x14ac:dyDescent="0.4">
      <c r="C476" s="26" t="s">
        <v>291</v>
      </c>
      <c r="D476" s="12">
        <v>85827</v>
      </c>
      <c r="E476" s="105" t="str">
        <f>IFERROR(VLOOKUP($D476,NUMDIST[],2,FALSE),"DA Non trouvéé")</f>
        <v>KISANGANI - SHOP LA GRACE</v>
      </c>
      <c r="F476" s="12" t="s">
        <v>262</v>
      </c>
      <c r="G476" s="14" t="s">
        <v>7</v>
      </c>
      <c r="H476" s="13">
        <v>940000</v>
      </c>
      <c r="I476" s="13">
        <v>0</v>
      </c>
      <c r="J476" s="12" t="s">
        <v>254</v>
      </c>
      <c r="K476" s="28" t="s">
        <v>263</v>
      </c>
    </row>
    <row r="477" spans="3:11" ht="15.5" thickTop="1" thickBot="1" x14ac:dyDescent="0.4">
      <c r="C477" s="26" t="s">
        <v>291</v>
      </c>
      <c r="D477" s="12">
        <v>103992</v>
      </c>
      <c r="E477" s="105" t="str">
        <f>IFERROR(VLOOKUP($D477,NUMDIST[],2,FALSE),"DA Non trouvéé")</f>
        <v>ETABLISEMENT ESPOIR BUSINESS</v>
      </c>
      <c r="F477" s="12" t="s">
        <v>262</v>
      </c>
      <c r="G477" s="14" t="s">
        <v>5</v>
      </c>
      <c r="H477" s="13">
        <v>705000</v>
      </c>
      <c r="I477" s="13">
        <v>0</v>
      </c>
      <c r="J477" s="12" t="s">
        <v>254</v>
      </c>
      <c r="K477" s="28" t="s">
        <v>263</v>
      </c>
    </row>
    <row r="478" spans="3:11" ht="15.5" thickTop="1" thickBot="1" x14ac:dyDescent="0.4">
      <c r="C478" s="26" t="s">
        <v>291</v>
      </c>
      <c r="D478" s="12">
        <v>34598</v>
      </c>
      <c r="E478" s="105" t="str">
        <f>IFERROR(VLOOKUP($D478,NUMDIST[],2,FALSE),"DA Non trouvéé")</f>
        <v>ETABLISSEMENT JPS DM DURBA</v>
      </c>
      <c r="F478" s="12" t="s">
        <v>262</v>
      </c>
      <c r="G478" s="14" t="s">
        <v>8</v>
      </c>
      <c r="H478" s="13">
        <v>400000</v>
      </c>
      <c r="I478" s="13">
        <v>0</v>
      </c>
      <c r="J478" s="12" t="s">
        <v>254</v>
      </c>
      <c r="K478" s="28" t="s">
        <v>263</v>
      </c>
    </row>
    <row r="479" spans="3:11" ht="15.5" thickTop="1" thickBot="1" x14ac:dyDescent="0.4">
      <c r="C479" s="26" t="s">
        <v>291</v>
      </c>
      <c r="D479" s="12">
        <v>106301</v>
      </c>
      <c r="E479" s="105" t="str">
        <f>IFERROR(VLOOKUP($D479,NUMDIST[],2,FALSE),"DA Non trouvéé")</f>
        <v>BUNIA - EST GRACE M</v>
      </c>
      <c r="F479" s="12" t="s">
        <v>262</v>
      </c>
      <c r="G479" s="14" t="s">
        <v>19</v>
      </c>
      <c r="H479" s="13">
        <v>470000</v>
      </c>
      <c r="I479" s="13">
        <v>0</v>
      </c>
      <c r="J479" s="12" t="s">
        <v>254</v>
      </c>
      <c r="K479" s="28" t="s">
        <v>263</v>
      </c>
    </row>
    <row r="480" spans="3:11" ht="15.5" thickTop="1" thickBot="1" x14ac:dyDescent="0.4">
      <c r="C480" s="26" t="s">
        <v>291</v>
      </c>
      <c r="D480" s="12">
        <v>36433</v>
      </c>
      <c r="E480" s="105" t="str">
        <f>IFERROR(VLOOKUP($D480,NUMDIST[],2,FALSE),"DA Non trouvéé")</f>
        <v>BUNIA - CHEZ JUSTIN</v>
      </c>
      <c r="F480" s="12" t="s">
        <v>262</v>
      </c>
      <c r="G480" s="14" t="s">
        <v>7</v>
      </c>
      <c r="H480" s="13">
        <v>1175000</v>
      </c>
      <c r="I480" s="13">
        <v>0</v>
      </c>
      <c r="J480" s="12" t="s">
        <v>254</v>
      </c>
      <c r="K480" s="28" t="s">
        <v>263</v>
      </c>
    </row>
    <row r="481" spans="3:11" ht="15.5" thickTop="1" thickBot="1" x14ac:dyDescent="0.4">
      <c r="C481" s="26" t="s">
        <v>291</v>
      </c>
      <c r="D481" s="12">
        <v>90192</v>
      </c>
      <c r="E481" s="105" t="str">
        <f>IFERROR(VLOOKUP($D481,NUMDIST[],2,FALSE),"DA Non trouvéé")</f>
        <v>BUKAVU - ETS LA GLOIRE</v>
      </c>
      <c r="F481" s="12" t="s">
        <v>262</v>
      </c>
      <c r="G481" s="14" t="s">
        <v>5</v>
      </c>
      <c r="H481" s="13">
        <v>587500</v>
      </c>
      <c r="I481" s="13">
        <v>0</v>
      </c>
      <c r="J481" s="12" t="s">
        <v>254</v>
      </c>
      <c r="K481" s="28" t="s">
        <v>263</v>
      </c>
    </row>
    <row r="482" spans="3:11" ht="15.5" thickTop="1" thickBot="1" x14ac:dyDescent="0.4">
      <c r="C482" s="26" t="s">
        <v>291</v>
      </c>
      <c r="D482" s="12">
        <v>92119</v>
      </c>
      <c r="E482" s="105" t="str">
        <f>IFERROR(VLOOKUP($D482,NUMDIST[],2,FALSE),"DA Non trouvéé")</f>
        <v>ISIRO - HADASSA BUSINESS</v>
      </c>
      <c r="F482" s="12" t="s">
        <v>262</v>
      </c>
      <c r="G482" s="14" t="s">
        <v>7</v>
      </c>
      <c r="H482" s="13">
        <v>385400</v>
      </c>
      <c r="I482" s="13">
        <v>0</v>
      </c>
      <c r="J482" s="12" t="s">
        <v>254</v>
      </c>
      <c r="K482" s="28" t="s">
        <v>263</v>
      </c>
    </row>
    <row r="483" spans="3:11" ht="15.5" thickTop="1" thickBot="1" x14ac:dyDescent="0.4">
      <c r="C483" s="26" t="s">
        <v>291</v>
      </c>
      <c r="D483" s="12">
        <v>91380</v>
      </c>
      <c r="E483" s="105" t="str">
        <f>IFERROR(VLOOKUP($D483,NUMDIST[],2,FALSE),"DA Non trouvéé")</f>
        <v>GOMA - MUNZOMBO MATEMBELA</v>
      </c>
      <c r="F483" s="12" t="s">
        <v>262</v>
      </c>
      <c r="G483" s="14" t="s">
        <v>5</v>
      </c>
      <c r="H483" s="13">
        <v>705000</v>
      </c>
      <c r="I483" s="13">
        <v>0</v>
      </c>
      <c r="J483" s="12" t="s">
        <v>254</v>
      </c>
      <c r="K483" s="28" t="s">
        <v>263</v>
      </c>
    </row>
    <row r="484" spans="3:11" ht="15.5" thickTop="1" thickBot="1" x14ac:dyDescent="0.4">
      <c r="C484" s="26" t="s">
        <v>291</v>
      </c>
      <c r="D484" s="12">
        <v>93938</v>
      </c>
      <c r="E484" s="105" t="str">
        <f>IFERROR(VLOOKUP($D484,NUMDIST[],2,FALSE),"DA Non trouvéé")</f>
        <v>ARIWARA - ETS GIFT AZUR</v>
      </c>
      <c r="F484" s="12" t="s">
        <v>262</v>
      </c>
      <c r="G484" s="14" t="s">
        <v>5</v>
      </c>
      <c r="H484" s="13">
        <v>470000</v>
      </c>
      <c r="I484" s="13">
        <v>0</v>
      </c>
      <c r="J484" s="12" t="s">
        <v>254</v>
      </c>
      <c r="K484" s="28" t="s">
        <v>263</v>
      </c>
    </row>
    <row r="485" spans="3:11" ht="15.5" thickTop="1" thickBot="1" x14ac:dyDescent="0.4">
      <c r="C485" s="26" t="s">
        <v>291</v>
      </c>
      <c r="D485" s="12">
        <v>91404</v>
      </c>
      <c r="E485" s="105" t="str">
        <f>IFERROR(VLOOKUP($D485,NUMDIST[],2,FALSE),"DA Non trouvéé")</f>
        <v>GOMA - SHOP GOMA</v>
      </c>
      <c r="F485" s="12" t="s">
        <v>262</v>
      </c>
      <c r="G485" s="14" t="s">
        <v>5</v>
      </c>
      <c r="H485" s="13">
        <v>481750</v>
      </c>
      <c r="I485" s="13">
        <v>0</v>
      </c>
      <c r="J485" s="12" t="s">
        <v>254</v>
      </c>
      <c r="K485" s="28" t="s">
        <v>263</v>
      </c>
    </row>
    <row r="486" spans="3:11" ht="15.5" thickTop="1" thickBot="1" x14ac:dyDescent="0.4">
      <c r="C486" s="26" t="s">
        <v>291</v>
      </c>
      <c r="D486" s="12">
        <v>85189</v>
      </c>
      <c r="E486" s="105" t="str">
        <f>IFERROR(VLOOKUP($D486,NUMDIST[],2,FALSE),"DA Non trouvéé")</f>
        <v>GOMA - CHEZ ZEPHERIN</v>
      </c>
      <c r="F486" s="12" t="s">
        <v>262</v>
      </c>
      <c r="G486" s="14" t="s">
        <v>5</v>
      </c>
      <c r="H486" s="13">
        <v>235000</v>
      </c>
      <c r="I486" s="13">
        <v>0</v>
      </c>
      <c r="J486" s="12" t="s">
        <v>254</v>
      </c>
      <c r="K486" s="28" t="s">
        <v>263</v>
      </c>
    </row>
    <row r="487" spans="3:11" ht="15.5" thickTop="1" thickBot="1" x14ac:dyDescent="0.4">
      <c r="C487" s="26" t="s">
        <v>291</v>
      </c>
      <c r="D487" s="12">
        <v>90176</v>
      </c>
      <c r="E487" s="105" t="str">
        <f>IFERROR(VLOOKUP($D487,NUMDIST[],2,FALSE),"DA Non trouvéé")</f>
        <v>BUNIA - SHOP MATATA</v>
      </c>
      <c r="F487" s="12" t="s">
        <v>262</v>
      </c>
      <c r="G487" s="14" t="s">
        <v>7</v>
      </c>
      <c r="H487" s="13">
        <v>235000</v>
      </c>
      <c r="I487" s="13">
        <v>0</v>
      </c>
      <c r="J487" s="12" t="s">
        <v>254</v>
      </c>
      <c r="K487" s="28" t="s">
        <v>263</v>
      </c>
    </row>
    <row r="488" spans="3:11" ht="15.5" thickTop="1" thickBot="1" x14ac:dyDescent="0.4">
      <c r="C488" s="26" t="s">
        <v>291</v>
      </c>
      <c r="D488" s="12">
        <v>71087</v>
      </c>
      <c r="E488" s="105" t="str">
        <f>IFERROR(VLOOKUP($D488,NUMDIST[],2,FALSE),"DA Non trouvéé")</f>
        <v>ETS CALIFORNIE</v>
      </c>
      <c r="F488" s="12" t="s">
        <v>262</v>
      </c>
      <c r="G488" s="14" t="s">
        <v>19</v>
      </c>
      <c r="H488" s="13">
        <v>352500</v>
      </c>
      <c r="I488" s="13">
        <v>0</v>
      </c>
      <c r="J488" s="12" t="s">
        <v>254</v>
      </c>
      <c r="K488" s="28" t="s">
        <v>263</v>
      </c>
    </row>
    <row r="489" spans="3:11" ht="15.5" thickTop="1" thickBot="1" x14ac:dyDescent="0.4">
      <c r="C489" s="26" t="s">
        <v>291</v>
      </c>
      <c r="D489" s="12">
        <v>42153</v>
      </c>
      <c r="E489" s="105" t="str">
        <f>IFERROR(VLOOKUP($D489,NUMDIST[],2,FALSE),"DA Non trouvéé")</f>
        <v>BUNIA - ETS SALEM</v>
      </c>
      <c r="F489" s="12" t="s">
        <v>262</v>
      </c>
      <c r="G489" s="14" t="s">
        <v>5</v>
      </c>
      <c r="H489" s="13">
        <v>352500</v>
      </c>
      <c r="I489" s="13">
        <v>0</v>
      </c>
      <c r="J489" s="12" t="s">
        <v>254</v>
      </c>
      <c r="K489" s="28" t="s">
        <v>263</v>
      </c>
    </row>
    <row r="490" spans="3:11" ht="15.5" thickTop="1" thickBot="1" x14ac:dyDescent="0.4">
      <c r="C490" s="26" t="s">
        <v>291</v>
      </c>
      <c r="D490" s="12">
        <v>95820</v>
      </c>
      <c r="E490" s="105" t="str">
        <f>IFERROR(VLOOKUP($D490,NUMDIST[],2,FALSE),"DA Non trouvéé")</f>
        <v>MONGWALU - MAISON INTEMPORELLE</v>
      </c>
      <c r="F490" s="12" t="s">
        <v>262</v>
      </c>
      <c r="G490" s="14" t="s">
        <v>4</v>
      </c>
      <c r="H490" s="13">
        <v>470000</v>
      </c>
      <c r="I490" s="13">
        <v>0</v>
      </c>
      <c r="J490" s="12" t="s">
        <v>254</v>
      </c>
      <c r="K490" s="28" t="s">
        <v>263</v>
      </c>
    </row>
    <row r="491" spans="3:11" ht="15.5" thickTop="1" thickBot="1" x14ac:dyDescent="0.4">
      <c r="C491" s="26" t="s">
        <v>291</v>
      </c>
      <c r="D491" s="12">
        <v>90174</v>
      </c>
      <c r="E491" s="105" t="str">
        <f>IFERROR(VLOOKUP($D491,NUMDIST[],2,FALSE),"DA Non trouvéé")</f>
        <v>MAHAGI - ETS JACQUES PLUS</v>
      </c>
      <c r="F491" s="12" t="s">
        <v>262</v>
      </c>
      <c r="G491" s="14" t="s">
        <v>4</v>
      </c>
      <c r="H491" s="13">
        <v>317250</v>
      </c>
      <c r="I491" s="13">
        <v>0</v>
      </c>
      <c r="J491" s="12" t="s">
        <v>254</v>
      </c>
      <c r="K491" s="28" t="s">
        <v>263</v>
      </c>
    </row>
    <row r="492" spans="3:11" ht="15.5" thickTop="1" thickBot="1" x14ac:dyDescent="0.4">
      <c r="C492" s="26" t="s">
        <v>291</v>
      </c>
      <c r="D492" s="12">
        <v>104929</v>
      </c>
      <c r="E492" s="105" t="str">
        <f>IFERROR(VLOOKUP($D492,NUMDIST[],2,FALSE),"DA Non trouvéé")</f>
        <v>KISANGANI - THEODOR BUSINESS</v>
      </c>
      <c r="F492" s="12" t="s">
        <v>262</v>
      </c>
      <c r="G492" s="14" t="s">
        <v>4</v>
      </c>
      <c r="H492" s="13">
        <v>152750</v>
      </c>
      <c r="I492" s="13">
        <v>0</v>
      </c>
      <c r="J492" s="12" t="s">
        <v>254</v>
      </c>
      <c r="K492" s="28" t="s">
        <v>263</v>
      </c>
    </row>
    <row r="493" spans="3:11" ht="15.5" thickTop="1" thickBot="1" x14ac:dyDescent="0.4">
      <c r="C493" s="26" t="s">
        <v>291</v>
      </c>
      <c r="D493" s="12">
        <v>107790</v>
      </c>
      <c r="E493" s="105" t="str">
        <f>IFERROR(VLOOKUP($D493,NUMDIST[],2,FALSE),"DA Non trouvéé")</f>
        <v>JPS GOMA SHOP JUST BUSINESS</v>
      </c>
      <c r="F493" s="12" t="s">
        <v>262</v>
      </c>
      <c r="G493" s="14" t="s">
        <v>5</v>
      </c>
      <c r="H493" s="13">
        <v>352500</v>
      </c>
      <c r="I493" s="13">
        <v>0</v>
      </c>
      <c r="J493" s="12" t="s">
        <v>254</v>
      </c>
      <c r="K493" s="28" t="s">
        <v>263</v>
      </c>
    </row>
    <row r="494" spans="3:11" ht="15.5" thickTop="1" thickBot="1" x14ac:dyDescent="0.4">
      <c r="C494" s="26" t="s">
        <v>291</v>
      </c>
      <c r="D494" s="81">
        <v>104789</v>
      </c>
      <c r="E494" s="105" t="str">
        <f>IFERROR(VLOOKUP($D494,NUMDIST[],2,FALSE),"DA Non trouvéé")</f>
        <v>WATHSA - SHOP SALEM</v>
      </c>
      <c r="F494" s="12" t="s">
        <v>262</v>
      </c>
      <c r="G494" s="14" t="s">
        <v>8</v>
      </c>
      <c r="H494" s="13">
        <v>781250</v>
      </c>
      <c r="I494" s="13">
        <v>0</v>
      </c>
      <c r="J494" s="12" t="s">
        <v>254</v>
      </c>
      <c r="K494" s="28" t="s">
        <v>263</v>
      </c>
    </row>
    <row r="495" spans="3:11" ht="15.5" thickTop="1" thickBot="1" x14ac:dyDescent="0.4">
      <c r="C495" s="26" t="s">
        <v>291</v>
      </c>
      <c r="D495" s="12">
        <v>55350</v>
      </c>
      <c r="E495" s="105" t="str">
        <f>IFERROR(VLOOKUP($D495,NUMDIST[],2,FALSE),"DA Non trouvéé")</f>
        <v>OICHA - CLINIQUE ORDINATEURS</v>
      </c>
      <c r="F495" s="12" t="s">
        <v>262</v>
      </c>
      <c r="G495" s="14" t="s">
        <v>5</v>
      </c>
      <c r="H495" s="13">
        <v>376000</v>
      </c>
      <c r="I495" s="13">
        <v>0</v>
      </c>
      <c r="J495" s="12" t="s">
        <v>254</v>
      </c>
      <c r="K495" s="28" t="s">
        <v>263</v>
      </c>
    </row>
    <row r="496" spans="3:11" ht="15.5" thickTop="1" thickBot="1" x14ac:dyDescent="0.4">
      <c r="C496" s="26" t="s">
        <v>291</v>
      </c>
      <c r="D496" s="12">
        <v>102554</v>
      </c>
      <c r="E496" s="105" t="str">
        <f>IFERROR(VLOOKUP($D496,NUMDIST[],2,FALSE),"DA Non trouvéé")</f>
        <v>KANYASI - ZITONO SHOP</v>
      </c>
      <c r="F496" s="12" t="s">
        <v>262</v>
      </c>
      <c r="G496" s="14" t="s">
        <v>19</v>
      </c>
      <c r="H496" s="13">
        <v>235000</v>
      </c>
      <c r="I496" s="13">
        <v>0</v>
      </c>
      <c r="J496" s="12" t="s">
        <v>254</v>
      </c>
      <c r="K496" s="28" t="s">
        <v>263</v>
      </c>
    </row>
    <row r="497" spans="3:11" ht="15.5" thickTop="1" thickBot="1" x14ac:dyDescent="0.4">
      <c r="C497" s="26" t="s">
        <v>291</v>
      </c>
      <c r="D497" s="12">
        <v>90156</v>
      </c>
      <c r="E497" s="105" t="str">
        <f>IFERROR(VLOOKUP($D497,NUMDIST[],2,FALSE),"DA Non trouvéé")</f>
        <v>GOMA - ETS ADONIS</v>
      </c>
      <c r="F497" s="12" t="s">
        <v>262</v>
      </c>
      <c r="G497" s="14" t="s">
        <v>5</v>
      </c>
      <c r="H497" s="13">
        <v>587500</v>
      </c>
      <c r="I497" s="13">
        <v>0</v>
      </c>
      <c r="J497" s="12" t="s">
        <v>254</v>
      </c>
      <c r="K497" s="28" t="s">
        <v>263</v>
      </c>
    </row>
    <row r="498" spans="3:11" ht="15.5" thickTop="1" thickBot="1" x14ac:dyDescent="0.4">
      <c r="C498" s="26" t="s">
        <v>291</v>
      </c>
      <c r="D498" s="12">
        <v>42152</v>
      </c>
      <c r="E498" s="105" t="str">
        <f>IFERROR(VLOOKUP($D498,NUMDIST[],2,FALSE),"DA Non trouvéé")</f>
        <v>Bunia - Ets SKY</v>
      </c>
      <c r="F498" s="12" t="s">
        <v>262</v>
      </c>
      <c r="G498" s="14" t="s">
        <v>10</v>
      </c>
      <c r="H498" s="13">
        <v>1598500</v>
      </c>
      <c r="I498" s="13">
        <v>0</v>
      </c>
      <c r="J498" s="12" t="s">
        <v>254</v>
      </c>
      <c r="K498" s="28" t="s">
        <v>263</v>
      </c>
    </row>
    <row r="499" spans="3:11" ht="15.5" thickTop="1" thickBot="1" x14ac:dyDescent="0.4">
      <c r="C499" s="26" t="s">
        <v>291</v>
      </c>
      <c r="D499" s="12">
        <v>55349</v>
      </c>
      <c r="E499" s="105" t="str">
        <f>IFERROR(VLOOKUP($D499,NUMDIST[],2,FALSE),"DA Non trouvéé")</f>
        <v>ISIRO - LES AMIS</v>
      </c>
      <c r="F499" s="12" t="s">
        <v>262</v>
      </c>
      <c r="G499" s="14" t="s">
        <v>7</v>
      </c>
      <c r="H499" s="13">
        <v>568700</v>
      </c>
      <c r="I499" s="13">
        <v>0</v>
      </c>
      <c r="J499" s="12" t="s">
        <v>254</v>
      </c>
      <c r="K499" s="28" t="s">
        <v>263</v>
      </c>
    </row>
    <row r="500" spans="3:11" ht="15.5" thickTop="1" thickBot="1" x14ac:dyDescent="0.4">
      <c r="C500" s="26" t="s">
        <v>291</v>
      </c>
      <c r="D500" s="12">
        <v>95823</v>
      </c>
      <c r="E500" s="105" t="str">
        <f>IFERROR(VLOOKUP($D500,NUMDIST[],2,FALSE),"DA Non trouvéé")</f>
        <v>BUNIA - ETS CANAL BIA</v>
      </c>
      <c r="F500" s="12" t="s">
        <v>262</v>
      </c>
      <c r="G500" s="14" t="s">
        <v>19</v>
      </c>
      <c r="H500" s="13">
        <v>235000</v>
      </c>
      <c r="I500" s="13">
        <v>0</v>
      </c>
      <c r="J500" s="12" t="s">
        <v>254</v>
      </c>
      <c r="K500" s="28" t="s">
        <v>263</v>
      </c>
    </row>
    <row r="501" spans="3:11" ht="15.5" thickTop="1" thickBot="1" x14ac:dyDescent="0.4">
      <c r="C501" s="26" t="s">
        <v>291</v>
      </c>
      <c r="D501" s="12">
        <v>87503</v>
      </c>
      <c r="E501" s="105" t="str">
        <f>IFERROR(VLOOKUP($D501,NUMDIST[],2,FALSE),"DA Non trouvéé")</f>
        <v>BUKAVU - ETS DIEU EST GRAND</v>
      </c>
      <c r="F501" s="12" t="s">
        <v>262</v>
      </c>
      <c r="G501" s="14" t="s">
        <v>7</v>
      </c>
      <c r="H501" s="13">
        <v>258500</v>
      </c>
      <c r="I501" s="13">
        <v>0</v>
      </c>
      <c r="J501" s="12" t="s">
        <v>254</v>
      </c>
      <c r="K501" s="28" t="s">
        <v>263</v>
      </c>
    </row>
    <row r="502" spans="3:11" ht="15.5" thickTop="1" thickBot="1" x14ac:dyDescent="0.4">
      <c r="C502" s="26" t="s">
        <v>291</v>
      </c>
      <c r="D502" s="12">
        <v>99337</v>
      </c>
      <c r="E502" s="105" t="str">
        <f>IFERROR(VLOOKUP($D502,NUMDIST[],2,FALSE),"DA Non trouvéé")</f>
        <v>ISIRO - SHOP CHARA HOUSE</v>
      </c>
      <c r="F502" s="12" t="s">
        <v>262</v>
      </c>
      <c r="G502" s="14" t="s">
        <v>7</v>
      </c>
      <c r="H502" s="13">
        <v>2037450</v>
      </c>
      <c r="I502" s="13">
        <v>0</v>
      </c>
      <c r="J502" s="12" t="s">
        <v>254</v>
      </c>
      <c r="K502" s="28" t="s">
        <v>263</v>
      </c>
    </row>
    <row r="503" spans="3:11" ht="15.5" thickTop="1" thickBot="1" x14ac:dyDescent="0.4">
      <c r="C503" s="26" t="s">
        <v>291</v>
      </c>
      <c r="D503" s="12">
        <v>91377</v>
      </c>
      <c r="E503" s="105" t="str">
        <f>IFERROR(VLOOKUP($D503,NUMDIST[],2,FALSE),"DA Non trouvéé")</f>
        <v>BUTEMBO - BMSHOP</v>
      </c>
      <c r="F503" s="12" t="s">
        <v>262</v>
      </c>
      <c r="G503" s="14" t="s">
        <v>5</v>
      </c>
      <c r="H503" s="13">
        <v>705000</v>
      </c>
      <c r="I503" s="13">
        <v>0</v>
      </c>
      <c r="J503" s="12" t="s">
        <v>254</v>
      </c>
      <c r="K503" s="28" t="s">
        <v>263</v>
      </c>
    </row>
    <row r="504" spans="3:11" ht="15.5" thickTop="1" thickBot="1" x14ac:dyDescent="0.4">
      <c r="C504" s="26" t="s">
        <v>291</v>
      </c>
      <c r="D504" s="12">
        <v>41317</v>
      </c>
      <c r="E504" s="105" t="str">
        <f>IFERROR(VLOOKUP($D504,NUMDIST[],2,FALSE),"DA Non trouvéé")</f>
        <v>Bukavu - Ets JPS DM BUKAVU</v>
      </c>
      <c r="F504" s="12" t="s">
        <v>262</v>
      </c>
      <c r="G504" s="14" t="s">
        <v>5</v>
      </c>
      <c r="H504" s="13">
        <v>650950</v>
      </c>
      <c r="I504" s="13">
        <v>0</v>
      </c>
      <c r="J504" s="12" t="s">
        <v>254</v>
      </c>
      <c r="K504" s="28" t="s">
        <v>263</v>
      </c>
    </row>
    <row r="505" spans="3:11" ht="15.5" thickTop="1" thickBot="1" x14ac:dyDescent="0.4">
      <c r="C505" s="26" t="s">
        <v>291</v>
      </c>
      <c r="D505" s="12">
        <v>34597</v>
      </c>
      <c r="E505" s="105" t="str">
        <f>IFERROR(VLOOKUP($D505,NUMDIST[],2,FALSE),"DA Non trouvéé")</f>
        <v>ETABLISSEMENT-  JPS DM BIGO</v>
      </c>
      <c r="F505" s="12" t="s">
        <v>262</v>
      </c>
      <c r="G505" s="14" t="s">
        <v>7</v>
      </c>
      <c r="H505" s="13">
        <v>1965500</v>
      </c>
      <c r="I505" s="13">
        <v>0</v>
      </c>
      <c r="J505" s="12" t="s">
        <v>254</v>
      </c>
      <c r="K505" s="28" t="s">
        <v>263</v>
      </c>
    </row>
    <row r="506" spans="3:11" ht="15.5" thickTop="1" thickBot="1" x14ac:dyDescent="0.4">
      <c r="C506" s="26" t="s">
        <v>291</v>
      </c>
      <c r="D506" s="81">
        <v>108074</v>
      </c>
      <c r="E506" s="105" t="str">
        <f>IFERROR(VLOOKUP($D506,NUMDIST[],2,FALSE),"DA Non trouvéé")</f>
        <v>JPS MAMBASA SHOP CANAL+ RB SAT</v>
      </c>
      <c r="F506" s="12" t="s">
        <v>262</v>
      </c>
      <c r="G506" s="14" t="s">
        <v>19</v>
      </c>
      <c r="H506" s="13">
        <v>235000</v>
      </c>
      <c r="I506" s="13">
        <v>0</v>
      </c>
      <c r="J506" s="12" t="s">
        <v>254</v>
      </c>
      <c r="K506" s="28" t="s">
        <v>263</v>
      </c>
    </row>
    <row r="507" spans="3:11" ht="15.5" thickTop="1" thickBot="1" x14ac:dyDescent="0.4">
      <c r="C507" s="26" t="s">
        <v>291</v>
      </c>
      <c r="D507" s="12">
        <v>36710</v>
      </c>
      <c r="E507" s="105" t="str">
        <f>IFERROR(VLOOKUP($D507,NUMDIST[],2,FALSE),"DA Non trouvéé")</f>
        <v>BUNIA - BOUTIQUE JPS DM</v>
      </c>
      <c r="F507" s="12" t="s">
        <v>262</v>
      </c>
      <c r="G507" s="14" t="s">
        <v>19</v>
      </c>
      <c r="H507" s="13">
        <v>5670200</v>
      </c>
      <c r="I507" s="13">
        <v>0</v>
      </c>
      <c r="J507" s="12" t="s">
        <v>254</v>
      </c>
      <c r="K507" s="28" t="s">
        <v>263</v>
      </c>
    </row>
    <row r="508" spans="3:11" ht="15.5" thickTop="1" thickBot="1" x14ac:dyDescent="0.4">
      <c r="C508" s="26" t="s">
        <v>291</v>
      </c>
      <c r="D508" s="12">
        <v>90176</v>
      </c>
      <c r="E508" s="105" t="str">
        <f>IFERROR(VLOOKUP($D508,NUMDIST[],2,FALSE),"DA Non trouvéé")</f>
        <v>BUNIA - SHOP MATATA</v>
      </c>
      <c r="F508" s="12" t="s">
        <v>262</v>
      </c>
      <c r="G508" s="14" t="s">
        <v>7</v>
      </c>
      <c r="H508" s="13">
        <v>470000</v>
      </c>
      <c r="I508" s="13">
        <v>0</v>
      </c>
      <c r="J508" s="12" t="s">
        <v>254</v>
      </c>
      <c r="K508" s="28" t="s">
        <v>263</v>
      </c>
    </row>
    <row r="509" spans="3:11" ht="15.5" thickTop="1" thickBot="1" x14ac:dyDescent="0.4">
      <c r="C509" s="26" t="s">
        <v>291</v>
      </c>
      <c r="D509" s="12">
        <v>90164</v>
      </c>
      <c r="E509" s="105" t="str">
        <f>IFERROR(VLOOKUP($D509,NUMDIST[],2,FALSE),"DA Non trouvéé")</f>
        <v>BUNIA - ALPHA SHOP</v>
      </c>
      <c r="F509" s="12" t="s">
        <v>262</v>
      </c>
      <c r="G509" s="14" t="s">
        <v>8</v>
      </c>
      <c r="H509" s="13">
        <v>470000</v>
      </c>
      <c r="I509" s="13">
        <v>0</v>
      </c>
      <c r="J509" s="12" t="s">
        <v>254</v>
      </c>
      <c r="K509" s="28" t="s">
        <v>263</v>
      </c>
    </row>
    <row r="510" spans="3:11" ht="15.5" thickTop="1" thickBot="1" x14ac:dyDescent="0.4">
      <c r="C510" s="26" t="s">
        <v>291</v>
      </c>
      <c r="D510" s="12">
        <v>85827</v>
      </c>
      <c r="E510" s="105" t="str">
        <f>IFERROR(VLOOKUP($D510,NUMDIST[],2,FALSE),"DA Non trouvéé")</f>
        <v>KISANGANI - SHOP LA GRACE</v>
      </c>
      <c r="F510" s="12" t="s">
        <v>262</v>
      </c>
      <c r="G510" s="14" t="s">
        <v>5</v>
      </c>
      <c r="H510" s="13">
        <v>1088050</v>
      </c>
      <c r="I510" s="13">
        <v>0</v>
      </c>
      <c r="J510" s="12" t="s">
        <v>254</v>
      </c>
      <c r="K510" s="28" t="s">
        <v>263</v>
      </c>
    </row>
    <row r="511" spans="3:11" ht="15.5" thickTop="1" thickBot="1" x14ac:dyDescent="0.4">
      <c r="C511" s="26" t="s">
        <v>291</v>
      </c>
      <c r="D511" s="12">
        <v>36112</v>
      </c>
      <c r="E511" s="105" t="str">
        <f>IFERROR(VLOOKUP($D511,NUMDIST[],2,FALSE),"DA Non trouvéé")</f>
        <v>SUD KIVU - ETS AGRIPPINE</v>
      </c>
      <c r="F511" s="12" t="s">
        <v>262</v>
      </c>
      <c r="G511" s="14" t="s">
        <v>5</v>
      </c>
      <c r="H511" s="13">
        <v>200000</v>
      </c>
      <c r="I511" s="13">
        <v>0</v>
      </c>
      <c r="J511" s="12" t="s">
        <v>254</v>
      </c>
      <c r="K511" s="28" t="s">
        <v>263</v>
      </c>
    </row>
    <row r="512" spans="3:11" ht="15.5" thickTop="1" thickBot="1" x14ac:dyDescent="0.4">
      <c r="C512" s="26" t="s">
        <v>291</v>
      </c>
      <c r="D512" s="12">
        <v>90152</v>
      </c>
      <c r="E512" s="105" t="str">
        <f>IFERROR(VLOOKUP($D512,NUMDIST[],2,FALSE),"DA Non trouvéé")</f>
        <v>BUTEMBO - ETS OIEL DU CIEL</v>
      </c>
      <c r="F512" s="12" t="s">
        <v>262</v>
      </c>
      <c r="G512" s="14" t="s">
        <v>5</v>
      </c>
      <c r="H512" s="13">
        <v>705000</v>
      </c>
      <c r="I512" s="13">
        <v>0</v>
      </c>
      <c r="J512" s="12" t="s">
        <v>254</v>
      </c>
      <c r="K512" s="28" t="s">
        <v>263</v>
      </c>
    </row>
    <row r="513" spans="3:11" ht="15.5" thickTop="1" thickBot="1" x14ac:dyDescent="0.4">
      <c r="C513" s="26" t="s">
        <v>292</v>
      </c>
      <c r="D513" s="12">
        <v>36112</v>
      </c>
      <c r="E513" s="105" t="str">
        <f>IFERROR(VLOOKUP($D513,NUMDIST[],2,FALSE),"DA Non trouvéé")</f>
        <v>SUD KIVU - ETS AGRIPPINE</v>
      </c>
      <c r="F513" s="12" t="s">
        <v>262</v>
      </c>
      <c r="G513" s="14" t="s">
        <v>5</v>
      </c>
      <c r="H513" s="13">
        <v>235000</v>
      </c>
      <c r="I513" s="13">
        <v>0</v>
      </c>
      <c r="J513" s="12" t="s">
        <v>254</v>
      </c>
      <c r="K513" s="28" t="s">
        <v>263</v>
      </c>
    </row>
    <row r="514" spans="3:11" ht="15.5" thickTop="1" thickBot="1" x14ac:dyDescent="0.4">
      <c r="C514" s="26" t="s">
        <v>292</v>
      </c>
      <c r="D514" s="12">
        <v>36112</v>
      </c>
      <c r="E514" s="105" t="str">
        <f>IFERROR(VLOOKUP($D514,NUMDIST[],2,FALSE),"DA Non trouvéé")</f>
        <v>SUD KIVU - ETS AGRIPPINE</v>
      </c>
      <c r="F514" s="12" t="s">
        <v>262</v>
      </c>
      <c r="G514" s="14" t="s">
        <v>5</v>
      </c>
      <c r="H514" s="13">
        <v>200000</v>
      </c>
      <c r="I514" s="13">
        <v>0</v>
      </c>
      <c r="J514" s="12" t="s">
        <v>254</v>
      </c>
      <c r="K514" s="28" t="s">
        <v>263</v>
      </c>
    </row>
    <row r="515" spans="3:11" ht="15.5" thickTop="1" thickBot="1" x14ac:dyDescent="0.4">
      <c r="C515" s="26" t="s">
        <v>292</v>
      </c>
      <c r="D515" s="12">
        <v>34597</v>
      </c>
      <c r="E515" s="105" t="str">
        <f>IFERROR(VLOOKUP($D515,NUMDIST[],2,FALSE),"DA Non trouvéé")</f>
        <v>ETABLISSEMENT-  JPS DM BIGO</v>
      </c>
      <c r="F515" s="12" t="s">
        <v>262</v>
      </c>
      <c r="G515" s="14" t="s">
        <v>19</v>
      </c>
      <c r="H515" s="13">
        <v>117500</v>
      </c>
      <c r="I515" s="13">
        <v>0</v>
      </c>
      <c r="J515" s="12" t="s">
        <v>254</v>
      </c>
      <c r="K515" s="28" t="s">
        <v>263</v>
      </c>
    </row>
    <row r="516" spans="3:11" ht="15.5" thickTop="1" thickBot="1" x14ac:dyDescent="0.4">
      <c r="C516" s="26" t="s">
        <v>292</v>
      </c>
      <c r="D516" s="12">
        <v>85827</v>
      </c>
      <c r="E516" s="105" t="str">
        <f>IFERROR(VLOOKUP($D516,NUMDIST[],2,FALSE),"DA Non trouvéé")</f>
        <v>KISANGANI - SHOP LA GRACE</v>
      </c>
      <c r="F516" s="12" t="s">
        <v>262</v>
      </c>
      <c r="G516" s="14" t="s">
        <v>7</v>
      </c>
      <c r="H516" s="13">
        <v>752000</v>
      </c>
      <c r="I516" s="13">
        <v>0</v>
      </c>
      <c r="J516" s="12" t="s">
        <v>254</v>
      </c>
      <c r="K516" s="28" t="s">
        <v>263</v>
      </c>
    </row>
    <row r="517" spans="3:11" ht="15.5" thickTop="1" thickBot="1" x14ac:dyDescent="0.4">
      <c r="C517" s="26" t="s">
        <v>292</v>
      </c>
      <c r="D517" s="12">
        <v>84318</v>
      </c>
      <c r="E517" s="105" t="str">
        <f>IFERROR(VLOOKUP($D517,NUMDIST[],2,FALSE),"DA Non trouvéé")</f>
        <v>BUTEMBO - FONDATION RUMY</v>
      </c>
      <c r="F517" s="12" t="s">
        <v>262</v>
      </c>
      <c r="G517" s="14" t="s">
        <v>7</v>
      </c>
      <c r="H517" s="13">
        <v>235000</v>
      </c>
      <c r="I517" s="13">
        <v>0</v>
      </c>
      <c r="J517" s="12" t="s">
        <v>254</v>
      </c>
      <c r="K517" s="28" t="s">
        <v>263</v>
      </c>
    </row>
    <row r="518" spans="3:11" ht="15.5" thickTop="1" thickBot="1" x14ac:dyDescent="0.4">
      <c r="C518" s="26" t="s">
        <v>292</v>
      </c>
      <c r="D518" s="12">
        <v>99337</v>
      </c>
      <c r="E518" s="105" t="str">
        <f>IFERROR(VLOOKUP($D518,NUMDIST[],2,FALSE),"DA Non trouvéé")</f>
        <v>ISIRO - SHOP CHARA HOUSE</v>
      </c>
      <c r="F518" s="12" t="s">
        <v>262</v>
      </c>
      <c r="G518" s="14" t="s">
        <v>7</v>
      </c>
      <c r="H518" s="13">
        <v>1793050</v>
      </c>
      <c r="I518" s="13">
        <v>0</v>
      </c>
      <c r="J518" s="12" t="s">
        <v>254</v>
      </c>
      <c r="K518" s="28" t="s">
        <v>263</v>
      </c>
    </row>
    <row r="519" spans="3:11" ht="15.5" thickTop="1" thickBot="1" x14ac:dyDescent="0.4">
      <c r="C519" s="26" t="s">
        <v>292</v>
      </c>
      <c r="D519" s="12">
        <v>104788</v>
      </c>
      <c r="E519" s="105" t="str">
        <f>IFERROR(VLOOKUP($D519,NUMDIST[],2,FALSE),"DA Non trouvéé")</f>
        <v>BUNIA - ETS DON DE DIEU</v>
      </c>
      <c r="F519" s="12" t="s">
        <v>262</v>
      </c>
      <c r="G519" s="14" t="s">
        <v>19</v>
      </c>
      <c r="H519" s="13">
        <v>86950</v>
      </c>
      <c r="I519" s="13">
        <v>0</v>
      </c>
      <c r="J519" s="12" t="s">
        <v>254</v>
      </c>
      <c r="K519" s="28" t="s">
        <v>263</v>
      </c>
    </row>
    <row r="520" spans="3:11" ht="15.5" thickTop="1" thickBot="1" x14ac:dyDescent="0.4">
      <c r="C520" s="26" t="s">
        <v>292</v>
      </c>
      <c r="D520" s="12">
        <v>36710</v>
      </c>
      <c r="E520" s="105" t="str">
        <f>IFERROR(VLOOKUP($D520,NUMDIST[],2,FALSE),"DA Non trouvéé")</f>
        <v>BUNIA - BOUTIQUE JPS DM</v>
      </c>
      <c r="F520" s="12" t="s">
        <v>262</v>
      </c>
      <c r="G520" s="14" t="s">
        <v>19</v>
      </c>
      <c r="H520" s="13">
        <v>1740600</v>
      </c>
      <c r="I520" s="13">
        <v>0</v>
      </c>
      <c r="J520" s="12" t="s">
        <v>254</v>
      </c>
      <c r="K520" s="28" t="s">
        <v>263</v>
      </c>
    </row>
    <row r="521" spans="3:11" ht="15.5" thickTop="1" thickBot="1" x14ac:dyDescent="0.4">
      <c r="C521" s="26" t="s">
        <v>292</v>
      </c>
      <c r="D521" s="12">
        <v>34597</v>
      </c>
      <c r="E521" s="105" t="str">
        <f>IFERROR(VLOOKUP($D521,NUMDIST[],2,FALSE),"DA Non trouvéé")</f>
        <v>ETABLISSEMENT-  JPS DM BIGO</v>
      </c>
      <c r="F521" s="12" t="s">
        <v>262</v>
      </c>
      <c r="G521" s="14" t="s">
        <v>7</v>
      </c>
      <c r="H521" s="13">
        <v>1258425</v>
      </c>
      <c r="I521" s="13">
        <v>0</v>
      </c>
      <c r="J521" s="12" t="s">
        <v>254</v>
      </c>
      <c r="K521" s="28" t="s">
        <v>263</v>
      </c>
    </row>
    <row r="522" spans="3:11" ht="15.5" thickTop="1" thickBot="1" x14ac:dyDescent="0.4">
      <c r="C522" s="26" t="s">
        <v>292</v>
      </c>
      <c r="D522" s="12">
        <v>71084</v>
      </c>
      <c r="E522" s="105" t="str">
        <f>IFERROR(VLOOKUP($D522,NUMDIST[],2,FALSE),"DA Non trouvéé")</f>
        <v>DURBA - Ets HUSSUMA BUSINESS</v>
      </c>
      <c r="F522" s="12" t="s">
        <v>262</v>
      </c>
      <c r="G522" s="14" t="s">
        <v>4</v>
      </c>
      <c r="H522" s="13">
        <v>7050000</v>
      </c>
      <c r="I522" s="13">
        <v>0</v>
      </c>
      <c r="J522" s="12" t="s">
        <v>254</v>
      </c>
      <c r="K522" s="28" t="s">
        <v>263</v>
      </c>
    </row>
    <row r="523" spans="3:11" ht="15.5" thickTop="1" thickBot="1" x14ac:dyDescent="0.4">
      <c r="C523" s="26" t="s">
        <v>292</v>
      </c>
      <c r="D523" s="12">
        <v>36433</v>
      </c>
      <c r="E523" s="105" t="str">
        <f>IFERROR(VLOOKUP($D523,NUMDIST[],2,FALSE),"DA Non trouvéé")</f>
        <v>BUNIA - CHEZ JUSTIN</v>
      </c>
      <c r="F523" s="12" t="s">
        <v>262</v>
      </c>
      <c r="G523" s="14" t="s">
        <v>7</v>
      </c>
      <c r="H523" s="13">
        <v>1175000</v>
      </c>
      <c r="I523" s="13">
        <v>0</v>
      </c>
      <c r="J523" s="12" t="s">
        <v>254</v>
      </c>
      <c r="K523" s="28" t="s">
        <v>263</v>
      </c>
    </row>
    <row r="524" spans="3:11" ht="15.5" thickTop="1" thickBot="1" x14ac:dyDescent="0.4">
      <c r="C524" s="26" t="s">
        <v>292</v>
      </c>
      <c r="D524" s="12">
        <v>90184</v>
      </c>
      <c r="E524" s="105" t="str">
        <f>IFERROR(VLOOKUP($D524,NUMDIST[],2,FALSE),"DA Non trouvéé")</f>
        <v>BUNIA - ETS MOISE MESO</v>
      </c>
      <c r="F524" s="12" t="s">
        <v>262</v>
      </c>
      <c r="G524" s="14" t="s">
        <v>19</v>
      </c>
      <c r="H524" s="13">
        <v>470000</v>
      </c>
      <c r="I524" s="13">
        <v>0</v>
      </c>
      <c r="J524" s="12" t="s">
        <v>254</v>
      </c>
      <c r="K524" s="28" t="s">
        <v>263</v>
      </c>
    </row>
    <row r="525" spans="3:11" ht="15.5" thickTop="1" thickBot="1" x14ac:dyDescent="0.4">
      <c r="C525" s="26" t="s">
        <v>292</v>
      </c>
      <c r="D525" s="12">
        <v>87503</v>
      </c>
      <c r="E525" s="105" t="str">
        <f>IFERROR(VLOOKUP($D525,NUMDIST[],2,FALSE),"DA Non trouvéé")</f>
        <v>BUKAVU - ETS DIEU EST GRAND</v>
      </c>
      <c r="F525" s="12" t="s">
        <v>262</v>
      </c>
      <c r="G525" s="14" t="s">
        <v>5</v>
      </c>
      <c r="H525" s="13">
        <v>987000</v>
      </c>
      <c r="I525" s="13">
        <v>0</v>
      </c>
      <c r="J525" s="12" t="s">
        <v>254</v>
      </c>
      <c r="K525" s="28" t="s">
        <v>263</v>
      </c>
    </row>
    <row r="526" spans="3:11" ht="15.5" thickTop="1" thickBot="1" x14ac:dyDescent="0.4">
      <c r="C526" s="26" t="s">
        <v>292</v>
      </c>
      <c r="D526" s="12">
        <v>42153</v>
      </c>
      <c r="E526" s="105" t="str">
        <f>IFERROR(VLOOKUP($D526,NUMDIST[],2,FALSE),"DA Non trouvéé")</f>
        <v>BUNIA - ETS SALEM</v>
      </c>
      <c r="F526" s="12" t="s">
        <v>262</v>
      </c>
      <c r="G526" s="14" t="s">
        <v>5</v>
      </c>
      <c r="H526" s="13">
        <v>376000</v>
      </c>
      <c r="I526" s="13">
        <v>0</v>
      </c>
      <c r="J526" s="12" t="s">
        <v>254</v>
      </c>
      <c r="K526" s="28" t="s">
        <v>263</v>
      </c>
    </row>
    <row r="527" spans="3:11" ht="15.5" thickTop="1" thickBot="1" x14ac:dyDescent="0.4">
      <c r="C527" s="26" t="s">
        <v>292</v>
      </c>
      <c r="D527" s="12">
        <v>90172</v>
      </c>
      <c r="E527" s="105" t="str">
        <f>IFERROR(VLOOKUP($D527,NUMDIST[],2,FALSE),"DA Non trouvéé")</f>
        <v>BUNIA - SHOP DOXA</v>
      </c>
      <c r="F527" s="12" t="s">
        <v>262</v>
      </c>
      <c r="G527" s="14" t="s">
        <v>4</v>
      </c>
      <c r="H527" s="13">
        <v>500000</v>
      </c>
      <c r="I527" s="13">
        <v>0</v>
      </c>
      <c r="J527" s="12" t="s">
        <v>254</v>
      </c>
      <c r="K527" s="28" t="s">
        <v>263</v>
      </c>
    </row>
    <row r="528" spans="3:11" ht="15.5" thickTop="1" thickBot="1" x14ac:dyDescent="0.4">
      <c r="C528" s="26" t="s">
        <v>292</v>
      </c>
      <c r="D528" s="12">
        <v>104788</v>
      </c>
      <c r="E528" s="105" t="str">
        <f>IFERROR(VLOOKUP($D528,NUMDIST[],2,FALSE),"DA Non trouvéé")</f>
        <v>BUNIA - ETS DON DE DIEU</v>
      </c>
      <c r="F528" s="12" t="s">
        <v>262</v>
      </c>
      <c r="G528" s="14" t="s">
        <v>19</v>
      </c>
      <c r="H528" s="13">
        <v>235000</v>
      </c>
      <c r="I528" s="13">
        <v>0</v>
      </c>
      <c r="J528" s="12" t="s">
        <v>254</v>
      </c>
      <c r="K528" s="28" t="s">
        <v>263</v>
      </c>
    </row>
    <row r="529" spans="3:11" ht="15.5" thickTop="1" thickBot="1" x14ac:dyDescent="0.4">
      <c r="C529" s="26" t="s">
        <v>292</v>
      </c>
      <c r="D529" s="12">
        <v>90185</v>
      </c>
      <c r="E529" s="105" t="str">
        <f>IFERROR(VLOOKUP($D529,NUMDIST[],2,FALSE),"DA Non trouvéé")</f>
        <v>DJUGU - CHEZ ROBERT</v>
      </c>
      <c r="F529" s="12" t="s">
        <v>262</v>
      </c>
      <c r="G529" s="14" t="s">
        <v>19</v>
      </c>
      <c r="H529" s="13">
        <v>352500</v>
      </c>
      <c r="I529" s="13">
        <v>0</v>
      </c>
      <c r="J529" s="12" t="s">
        <v>254</v>
      </c>
      <c r="K529" s="28" t="s">
        <v>263</v>
      </c>
    </row>
    <row r="530" spans="3:11" ht="15.5" thickTop="1" thickBot="1" x14ac:dyDescent="0.4">
      <c r="C530" s="26" t="s">
        <v>292</v>
      </c>
      <c r="D530" s="12">
        <v>42931</v>
      </c>
      <c r="E530" s="105" t="str">
        <f>IFERROR(VLOOKUP($D530,NUMDIST[],2,FALSE),"DA Non trouvéé")</f>
        <v>GOMA - VAD JPS DM</v>
      </c>
      <c r="F530" s="12" t="s">
        <v>262</v>
      </c>
      <c r="G530" s="14" t="s">
        <v>5</v>
      </c>
      <c r="H530" s="13">
        <v>123375</v>
      </c>
      <c r="I530" s="13">
        <v>0</v>
      </c>
      <c r="J530" s="12" t="s">
        <v>254</v>
      </c>
      <c r="K530" s="28" t="s">
        <v>263</v>
      </c>
    </row>
    <row r="531" spans="3:11" ht="15.5" thickTop="1" thickBot="1" x14ac:dyDescent="0.4">
      <c r="C531" s="26" t="s">
        <v>292</v>
      </c>
      <c r="D531" s="12">
        <v>90181</v>
      </c>
      <c r="E531" s="105" t="str">
        <f>IFERROR(VLOOKUP($D531,NUMDIST[],2,FALSE),"DA Non trouvéé")</f>
        <v>BUNIA - LA GRACE DIVINE</v>
      </c>
      <c r="F531" s="12" t="s">
        <v>262</v>
      </c>
      <c r="G531" s="14" t="s">
        <v>5</v>
      </c>
      <c r="H531" s="13">
        <v>250000</v>
      </c>
      <c r="I531" s="13">
        <v>0</v>
      </c>
      <c r="J531" s="12" t="s">
        <v>254</v>
      </c>
      <c r="K531" s="28" t="s">
        <v>263</v>
      </c>
    </row>
    <row r="532" spans="3:11" ht="15.5" thickTop="1" thickBot="1" x14ac:dyDescent="0.4">
      <c r="C532" s="26" t="s">
        <v>292</v>
      </c>
      <c r="D532" s="12">
        <v>36431</v>
      </c>
      <c r="E532" s="105" t="str">
        <f>IFERROR(VLOOKUP($D532,NUMDIST[],2,FALSE),"DA Non trouvéé")</f>
        <v>Isiro - MACAMPAGNE</v>
      </c>
      <c r="F532" s="12" t="s">
        <v>262</v>
      </c>
      <c r="G532" s="14" t="s">
        <v>8</v>
      </c>
      <c r="H532" s="13">
        <v>1040500</v>
      </c>
      <c r="I532" s="13">
        <v>0</v>
      </c>
      <c r="J532" s="12" t="s">
        <v>254</v>
      </c>
      <c r="K532" s="28" t="s">
        <v>263</v>
      </c>
    </row>
    <row r="533" spans="3:11" ht="15.5" thickTop="1" thickBot="1" x14ac:dyDescent="0.4">
      <c r="C533" s="26" t="s">
        <v>292</v>
      </c>
      <c r="D533" s="12">
        <v>55349</v>
      </c>
      <c r="E533" s="105" t="str">
        <f>IFERROR(VLOOKUP($D533,NUMDIST[],2,FALSE),"DA Non trouvéé")</f>
        <v>ISIRO - LES AMIS</v>
      </c>
      <c r="F533" s="12" t="s">
        <v>262</v>
      </c>
      <c r="G533" s="14" t="s">
        <v>7</v>
      </c>
      <c r="H533" s="13">
        <v>1022250</v>
      </c>
      <c r="I533" s="13">
        <v>0</v>
      </c>
      <c r="J533" s="12" t="s">
        <v>254</v>
      </c>
      <c r="K533" s="28" t="s">
        <v>263</v>
      </c>
    </row>
    <row r="534" spans="3:11" ht="15.5" thickTop="1" thickBot="1" x14ac:dyDescent="0.4">
      <c r="C534" s="26" t="s">
        <v>292</v>
      </c>
      <c r="D534" s="12">
        <v>85837</v>
      </c>
      <c r="E534" s="105" t="str">
        <f>IFERROR(VLOOKUP($D534,NUMDIST[],2,FALSE),"DA Non trouvéé")</f>
        <v>BENI - SHOP ESPERANCE</v>
      </c>
      <c r="F534" s="12" t="s">
        <v>262</v>
      </c>
      <c r="G534" s="14" t="s">
        <v>7</v>
      </c>
      <c r="H534" s="13">
        <v>470000</v>
      </c>
      <c r="I534" s="13">
        <v>0</v>
      </c>
      <c r="J534" s="12" t="s">
        <v>254</v>
      </c>
      <c r="K534" s="28" t="s">
        <v>263</v>
      </c>
    </row>
    <row r="535" spans="3:11" ht="15.5" thickTop="1" thickBot="1" x14ac:dyDescent="0.4">
      <c r="C535" s="26" t="s">
        <v>292</v>
      </c>
      <c r="D535" s="12">
        <v>36710</v>
      </c>
      <c r="E535" s="105" t="str">
        <f>IFERROR(VLOOKUP($D535,NUMDIST[],2,FALSE),"DA Non trouvéé")</f>
        <v>BUNIA - BOUTIQUE JPS DM</v>
      </c>
      <c r="F535" s="12" t="s">
        <v>262</v>
      </c>
      <c r="G535" s="14" t="s">
        <v>19</v>
      </c>
      <c r="H535" s="13">
        <v>2000000</v>
      </c>
      <c r="I535" s="13">
        <v>0</v>
      </c>
      <c r="J535" s="12" t="s">
        <v>254</v>
      </c>
      <c r="K535" s="28" t="s">
        <v>263</v>
      </c>
    </row>
    <row r="536" spans="3:11" ht="15.5" thickTop="1" thickBot="1" x14ac:dyDescent="0.4">
      <c r="C536" s="26" t="s">
        <v>292</v>
      </c>
      <c r="D536" s="81">
        <v>107995</v>
      </c>
      <c r="E536" s="105" t="str">
        <f>IFERROR(VLOOKUP($D536,NUMDIST[],2,FALSE),"DA Non trouvéé")</f>
        <v>JPS DURBA-GIRO</v>
      </c>
      <c r="F536" s="12" t="s">
        <v>262</v>
      </c>
      <c r="G536" s="14" t="s">
        <v>6</v>
      </c>
      <c r="H536" s="13">
        <v>235000</v>
      </c>
      <c r="I536" s="13">
        <v>0</v>
      </c>
      <c r="J536" s="12" t="s">
        <v>15</v>
      </c>
      <c r="K536" s="28" t="s">
        <v>263</v>
      </c>
    </row>
    <row r="537" spans="3:11" ht="15.5" thickTop="1" thickBot="1" x14ac:dyDescent="0.4">
      <c r="C537" s="26" t="s">
        <v>292</v>
      </c>
      <c r="D537" s="12">
        <v>90173</v>
      </c>
      <c r="E537" s="105" t="str">
        <f>IFERROR(VLOOKUP($D537,NUMDIST[],2,FALSE),"DA Non trouvéé")</f>
        <v>BUNIA - ZI BUSINESS</v>
      </c>
      <c r="F537" s="12" t="s">
        <v>262</v>
      </c>
      <c r="G537" s="14" t="s">
        <v>19</v>
      </c>
      <c r="H537" s="13">
        <v>258000</v>
      </c>
      <c r="I537" s="13">
        <v>0</v>
      </c>
      <c r="J537" s="12" t="s">
        <v>254</v>
      </c>
      <c r="K537" s="28" t="s">
        <v>263</v>
      </c>
    </row>
    <row r="538" spans="3:11" ht="15.5" thickTop="1" thickBot="1" x14ac:dyDescent="0.4">
      <c r="C538" s="26" t="s">
        <v>292</v>
      </c>
      <c r="D538" s="12">
        <v>34598</v>
      </c>
      <c r="E538" s="105" t="str">
        <f>IFERROR(VLOOKUP($D538,NUMDIST[],2,FALSE),"DA Non trouvéé")</f>
        <v>ETABLISSEMENT JPS DM DURBA</v>
      </c>
      <c r="F538" s="12" t="s">
        <v>262</v>
      </c>
      <c r="G538" s="14" t="s">
        <v>8</v>
      </c>
      <c r="H538" s="13">
        <v>400000</v>
      </c>
      <c r="I538" s="13">
        <v>0</v>
      </c>
      <c r="J538" s="12" t="s">
        <v>254</v>
      </c>
      <c r="K538" s="28" t="s">
        <v>263</v>
      </c>
    </row>
    <row r="539" spans="3:11" ht="15.5" thickTop="1" thickBot="1" x14ac:dyDescent="0.4">
      <c r="C539" s="26" t="s">
        <v>292</v>
      </c>
      <c r="D539" s="12">
        <v>91398</v>
      </c>
      <c r="E539" s="105" t="str">
        <f>IFERROR(VLOOKUP($D539,NUMDIST[],2,FALSE),"DA Non trouvéé")</f>
        <v>GOMA - YEKAYA BUSINESS</v>
      </c>
      <c r="F539" s="12" t="s">
        <v>262</v>
      </c>
      <c r="G539" s="14" t="s">
        <v>5</v>
      </c>
      <c r="H539" s="13">
        <v>235000</v>
      </c>
      <c r="I539" s="13">
        <v>0</v>
      </c>
      <c r="J539" s="12" t="s">
        <v>254</v>
      </c>
      <c r="K539" s="28" t="s">
        <v>263</v>
      </c>
    </row>
    <row r="540" spans="3:11" ht="15.5" thickTop="1" thickBot="1" x14ac:dyDescent="0.4">
      <c r="C540" s="26" t="s">
        <v>292</v>
      </c>
      <c r="D540" s="12">
        <v>71084</v>
      </c>
      <c r="E540" s="105" t="str">
        <f>IFERROR(VLOOKUP($D540,NUMDIST[],2,FALSE),"DA Non trouvéé")</f>
        <v>DURBA - Ets HUSSUMA BUSINESS</v>
      </c>
      <c r="F540" s="12" t="s">
        <v>262</v>
      </c>
      <c r="G540" s="14" t="s">
        <v>4</v>
      </c>
      <c r="H540" s="13">
        <v>3525000</v>
      </c>
      <c r="I540" s="13">
        <v>0</v>
      </c>
      <c r="J540" s="12" t="s">
        <v>254</v>
      </c>
      <c r="K540" s="28" t="s">
        <v>263</v>
      </c>
    </row>
    <row r="541" spans="3:11" ht="15.5" thickTop="1" thickBot="1" x14ac:dyDescent="0.4">
      <c r="C541" s="26" t="s">
        <v>292</v>
      </c>
      <c r="D541" s="12">
        <v>92119</v>
      </c>
      <c r="E541" s="105" t="str">
        <f>IFERROR(VLOOKUP($D541,NUMDIST[],2,FALSE),"DA Non trouvéé")</f>
        <v>ISIRO - HADASSA BUSINESS</v>
      </c>
      <c r="F541" s="12" t="s">
        <v>262</v>
      </c>
      <c r="G541" s="14" t="s">
        <v>7</v>
      </c>
      <c r="H541" s="13">
        <v>470000</v>
      </c>
      <c r="I541" s="13">
        <v>0</v>
      </c>
      <c r="J541" s="12" t="s">
        <v>254</v>
      </c>
      <c r="K541" s="28" t="s">
        <v>263</v>
      </c>
    </row>
    <row r="542" spans="3:11" ht="15.5" thickTop="1" thickBot="1" x14ac:dyDescent="0.4">
      <c r="C542" s="26">
        <v>46219</v>
      </c>
      <c r="D542" s="12">
        <v>91775</v>
      </c>
      <c r="E542" s="105" t="str">
        <f>IFERROR(VLOOKUP($D542,NUMDIST[],2,FALSE),"DA Non trouvéé")</f>
        <v>MAHAGI - MAISON DIGITAL</v>
      </c>
      <c r="F542" s="12" t="s">
        <v>262</v>
      </c>
      <c r="G542" s="14" t="s">
        <v>8</v>
      </c>
      <c r="H542" s="13">
        <v>1468750</v>
      </c>
      <c r="I542" s="13">
        <v>0</v>
      </c>
      <c r="J542" s="12" t="s">
        <v>254</v>
      </c>
      <c r="K542" s="28" t="s">
        <v>263</v>
      </c>
    </row>
    <row r="543" spans="3:11" ht="15.5" thickTop="1" thickBot="1" x14ac:dyDescent="0.4">
      <c r="C543" s="26" t="s">
        <v>292</v>
      </c>
      <c r="D543" s="12">
        <v>36272</v>
      </c>
      <c r="E543" s="105" t="str">
        <f>IFERROR(VLOOKUP($D543,NUMDIST[],2,FALSE),"DA Non trouvéé")</f>
        <v>BUNIA - JPS DM</v>
      </c>
      <c r="F543" s="12" t="s">
        <v>273</v>
      </c>
      <c r="G543" s="14" t="s">
        <v>7</v>
      </c>
      <c r="H543" s="13">
        <v>0</v>
      </c>
      <c r="I543" s="13">
        <v>61452500</v>
      </c>
      <c r="J543" s="12" t="s">
        <v>254</v>
      </c>
      <c r="K543" s="28" t="s">
        <v>276</v>
      </c>
    </row>
    <row r="544" spans="3:11" ht="15.5" thickTop="1" thickBot="1" x14ac:dyDescent="0.4">
      <c r="C544" s="26" t="s">
        <v>292</v>
      </c>
      <c r="D544" s="12">
        <v>95818</v>
      </c>
      <c r="E544" s="105" t="str">
        <f>IFERROR(VLOOKUP($D544,NUMDIST[],2,FALSE),"DA Non trouvéé")</f>
        <v>BUNIA - SHOP BLESSING</v>
      </c>
      <c r="F544" s="12" t="s">
        <v>262</v>
      </c>
      <c r="G544" s="14" t="s">
        <v>19</v>
      </c>
      <c r="H544" s="13">
        <v>117500</v>
      </c>
      <c r="I544" s="13">
        <v>0</v>
      </c>
      <c r="J544" s="12" t="s">
        <v>254</v>
      </c>
      <c r="K544" s="28" t="s">
        <v>263</v>
      </c>
    </row>
    <row r="545" spans="3:11" ht="15.5" thickTop="1" thickBot="1" x14ac:dyDescent="0.4">
      <c r="C545" s="26" t="s">
        <v>292</v>
      </c>
      <c r="D545" s="12">
        <v>100652</v>
      </c>
      <c r="E545" s="105" t="str">
        <f>IFERROR(VLOOKUP($D545,NUMDIST[],2,FALSE),"DA Non trouvéé")</f>
        <v>BUNIA - ETS COURAGE IT</v>
      </c>
      <c r="F545" s="12" t="s">
        <v>262</v>
      </c>
      <c r="G545" s="14" t="s">
        <v>6</v>
      </c>
      <c r="H545" s="13">
        <v>235000</v>
      </c>
      <c r="I545" s="13">
        <v>0</v>
      </c>
      <c r="J545" s="12" t="s">
        <v>15</v>
      </c>
      <c r="K545" s="28" t="s">
        <v>263</v>
      </c>
    </row>
    <row r="546" spans="3:11" ht="15.5" thickTop="1" thickBot="1" x14ac:dyDescent="0.4">
      <c r="C546" s="26" t="s">
        <v>293</v>
      </c>
      <c r="D546" s="12">
        <v>54298</v>
      </c>
      <c r="E546" s="105" t="str">
        <f>IFERROR(VLOOKUP($D546,NUMDIST[],2,FALSE),"DA Non trouvéé")</f>
        <v>KIVU - SHOP SATELLITE</v>
      </c>
      <c r="F546" s="12" t="s">
        <v>262</v>
      </c>
      <c r="G546" s="14" t="s">
        <v>5</v>
      </c>
      <c r="H546" s="13">
        <v>587500</v>
      </c>
      <c r="I546" s="13">
        <v>0</v>
      </c>
      <c r="J546" s="12" t="s">
        <v>254</v>
      </c>
      <c r="K546" s="28" t="s">
        <v>263</v>
      </c>
    </row>
    <row r="547" spans="3:11" ht="15.5" thickTop="1" thickBot="1" x14ac:dyDescent="0.4">
      <c r="C547" s="26" t="s">
        <v>293</v>
      </c>
      <c r="D547" s="12">
        <v>90174</v>
      </c>
      <c r="E547" s="105" t="str">
        <f>IFERROR(VLOOKUP($D547,NUMDIST[],2,FALSE),"DA Non trouvéé")</f>
        <v>MAHAGI - ETS JACQUES PLUS</v>
      </c>
      <c r="F547" s="12" t="s">
        <v>262</v>
      </c>
      <c r="G547" s="14" t="s">
        <v>4</v>
      </c>
      <c r="H547" s="13">
        <v>235000</v>
      </c>
      <c r="I547" s="13">
        <v>0</v>
      </c>
      <c r="J547" s="12" t="s">
        <v>254</v>
      </c>
      <c r="K547" s="28" t="s">
        <v>263</v>
      </c>
    </row>
    <row r="548" spans="3:11" ht="15.5" thickTop="1" thickBot="1" x14ac:dyDescent="0.4">
      <c r="C548" s="26" t="s">
        <v>293</v>
      </c>
      <c r="D548" s="12">
        <v>92122</v>
      </c>
      <c r="E548" s="105" t="str">
        <f>IFERROR(VLOOKUP($D548,NUMDIST[],2,FALSE),"DA Non trouvéé")</f>
        <v>KISANGANI - MONT GOLOGOTA</v>
      </c>
      <c r="F548" s="12" t="s">
        <v>262</v>
      </c>
      <c r="G548" s="14" t="s">
        <v>5</v>
      </c>
      <c r="H548" s="13">
        <v>352500</v>
      </c>
      <c r="I548" s="13">
        <v>0</v>
      </c>
      <c r="J548" s="12" t="s">
        <v>254</v>
      </c>
      <c r="K548" s="28" t="s">
        <v>263</v>
      </c>
    </row>
    <row r="549" spans="3:11" ht="15.5" thickTop="1" thickBot="1" x14ac:dyDescent="0.4">
      <c r="C549" s="26" t="s">
        <v>293</v>
      </c>
      <c r="D549" s="12">
        <v>36112</v>
      </c>
      <c r="E549" s="105" t="str">
        <f>IFERROR(VLOOKUP($D549,NUMDIST[],2,FALSE),"DA Non trouvéé")</f>
        <v>SUD KIVU - ETS AGRIPPINE</v>
      </c>
      <c r="F549" s="12" t="s">
        <v>262</v>
      </c>
      <c r="G549" s="14" t="s">
        <v>5</v>
      </c>
      <c r="H549" s="13">
        <v>200000</v>
      </c>
      <c r="I549" s="13">
        <v>0</v>
      </c>
      <c r="J549" s="12" t="s">
        <v>254</v>
      </c>
      <c r="K549" s="28" t="s">
        <v>263</v>
      </c>
    </row>
    <row r="550" spans="3:11" ht="15.5" thickTop="1" thickBot="1" x14ac:dyDescent="0.4">
      <c r="C550" s="26" t="s">
        <v>293</v>
      </c>
      <c r="D550" s="12">
        <v>95818</v>
      </c>
      <c r="E550" s="105" t="str">
        <f>IFERROR(VLOOKUP($D550,NUMDIST[],2,FALSE),"DA Non trouvéé")</f>
        <v>BUNIA - SHOP BLESSING</v>
      </c>
      <c r="F550" s="12" t="s">
        <v>262</v>
      </c>
      <c r="G550" s="14" t="s">
        <v>19</v>
      </c>
      <c r="H550" s="13">
        <v>235000</v>
      </c>
      <c r="I550" s="13">
        <v>0</v>
      </c>
      <c r="J550" s="12" t="s">
        <v>254</v>
      </c>
      <c r="K550" s="28" t="s">
        <v>263</v>
      </c>
    </row>
    <row r="551" spans="3:11" ht="15.5" thickTop="1" thickBot="1" x14ac:dyDescent="0.4">
      <c r="C551" s="26" t="s">
        <v>293</v>
      </c>
      <c r="D551" s="12">
        <v>36430</v>
      </c>
      <c r="E551" s="105" t="str">
        <f>IFERROR(VLOOKUP($D551,NUMDIST[],2,FALSE),"DA Non trouvéé")</f>
        <v>Bunia - ETS BOTOAFINE</v>
      </c>
      <c r="F551" s="12" t="s">
        <v>262</v>
      </c>
      <c r="G551" s="14" t="s">
        <v>19</v>
      </c>
      <c r="H551" s="13">
        <v>177000</v>
      </c>
      <c r="I551" s="13">
        <v>0</v>
      </c>
      <c r="J551" s="12" t="s">
        <v>254</v>
      </c>
      <c r="K551" s="28" t="s">
        <v>263</v>
      </c>
    </row>
    <row r="552" spans="3:11" ht="15.5" thickTop="1" thickBot="1" x14ac:dyDescent="0.4">
      <c r="C552" s="26" t="s">
        <v>293</v>
      </c>
      <c r="D552" s="12">
        <v>106295</v>
      </c>
      <c r="E552" s="105" t="str">
        <f>IFERROR(VLOOKUP($D552,NUMDIST[],2,FALSE),"DA Non trouvéé")</f>
        <v>SHARI - SHOP DIEU MOI</v>
      </c>
      <c r="F552" s="12" t="s">
        <v>262</v>
      </c>
      <c r="G552" s="14" t="s">
        <v>4</v>
      </c>
      <c r="H552" s="13">
        <v>235000</v>
      </c>
      <c r="I552" s="13">
        <v>0</v>
      </c>
      <c r="J552" s="12" t="s">
        <v>254</v>
      </c>
      <c r="K552" s="28" t="s">
        <v>263</v>
      </c>
    </row>
    <row r="553" spans="3:11" ht="15.5" thickTop="1" thickBot="1" x14ac:dyDescent="0.4">
      <c r="C553" s="26" t="s">
        <v>293</v>
      </c>
      <c r="D553" s="12">
        <v>95817</v>
      </c>
      <c r="E553" s="105" t="str">
        <f>IFERROR(VLOOKUP($D553,NUMDIST[],2,FALSE),"DA Non trouvéé")</f>
        <v>BUNIA - YESU NI JIBU</v>
      </c>
      <c r="F553" s="12" t="s">
        <v>262</v>
      </c>
      <c r="G553" s="14" t="s">
        <v>4</v>
      </c>
      <c r="H553" s="13">
        <v>235000</v>
      </c>
      <c r="I553" s="13">
        <v>0</v>
      </c>
      <c r="J553" s="12" t="s">
        <v>254</v>
      </c>
      <c r="K553" s="28" t="s">
        <v>263</v>
      </c>
    </row>
    <row r="554" spans="3:11" ht="15.5" thickTop="1" thickBot="1" x14ac:dyDescent="0.4">
      <c r="C554" s="26" t="s">
        <v>293</v>
      </c>
      <c r="D554" s="12">
        <v>90141</v>
      </c>
      <c r="E554" s="105" t="str">
        <f>IFERROR(VLOOKUP($D554,NUMDIST[],2,FALSE),"DA Non trouvéé")</f>
        <v>GOMA - ETS SHOP ANUARITE</v>
      </c>
      <c r="F554" s="12" t="s">
        <v>262</v>
      </c>
      <c r="G554" s="14" t="s">
        <v>5</v>
      </c>
      <c r="H554" s="13">
        <v>235000</v>
      </c>
      <c r="I554" s="13">
        <v>0</v>
      </c>
      <c r="J554" s="12" t="s">
        <v>254</v>
      </c>
      <c r="K554" s="28" t="s">
        <v>263</v>
      </c>
    </row>
    <row r="555" spans="3:11" ht="15.5" thickTop="1" thickBot="1" x14ac:dyDescent="0.4">
      <c r="C555" s="26" t="s">
        <v>293</v>
      </c>
      <c r="D555" s="12">
        <v>87500</v>
      </c>
      <c r="E555" s="105" t="str">
        <f>IFERROR(VLOOKUP($D555,NUMDIST[],2,FALSE),"DA Non trouvéé")</f>
        <v>BUNIA - ETS DIEU MERCI</v>
      </c>
      <c r="F555" s="12" t="s">
        <v>262</v>
      </c>
      <c r="G555" s="14" t="s">
        <v>19</v>
      </c>
      <c r="H555" s="13">
        <v>587500</v>
      </c>
      <c r="I555" s="13">
        <v>0</v>
      </c>
      <c r="J555" s="12" t="s">
        <v>15</v>
      </c>
      <c r="K555" s="28" t="s">
        <v>263</v>
      </c>
    </row>
    <row r="556" spans="3:11" ht="15.5" thickTop="1" thickBot="1" x14ac:dyDescent="0.4">
      <c r="C556" s="26" t="s">
        <v>293</v>
      </c>
      <c r="D556" s="12">
        <v>41317</v>
      </c>
      <c r="E556" s="105" t="str">
        <f>IFERROR(VLOOKUP($D556,NUMDIST[],2,FALSE),"DA Non trouvéé")</f>
        <v>Bukavu - Ets JPS DM BUKAVU</v>
      </c>
      <c r="F556" s="12" t="s">
        <v>262</v>
      </c>
      <c r="G556" s="14" t="s">
        <v>7</v>
      </c>
      <c r="H556" s="13">
        <v>470000</v>
      </c>
      <c r="I556" s="13">
        <v>0</v>
      </c>
      <c r="J556" s="12" t="s">
        <v>254</v>
      </c>
      <c r="K556" s="28" t="s">
        <v>263</v>
      </c>
    </row>
    <row r="557" spans="3:11" ht="15.5" thickTop="1" thickBot="1" x14ac:dyDescent="0.4">
      <c r="C557" s="26" t="s">
        <v>293</v>
      </c>
      <c r="D557" s="12">
        <v>87013</v>
      </c>
      <c r="E557" s="105" t="str">
        <f>IFERROR(VLOOKUP($D557,NUMDIST[],2,FALSE),"DA Non trouvéé")</f>
        <v>BUNIA - JC SANS TACHES</v>
      </c>
      <c r="F557" s="12" t="s">
        <v>262</v>
      </c>
      <c r="G557" s="14" t="s">
        <v>4</v>
      </c>
      <c r="H557" s="13">
        <v>260000</v>
      </c>
      <c r="I557" s="13">
        <v>0</v>
      </c>
      <c r="J557" s="12" t="s">
        <v>254</v>
      </c>
      <c r="K557" s="28" t="s">
        <v>263</v>
      </c>
    </row>
    <row r="558" spans="3:11" ht="15.5" thickTop="1" thickBot="1" x14ac:dyDescent="0.4">
      <c r="C558" s="26" t="s">
        <v>293</v>
      </c>
      <c r="D558" s="12">
        <v>85827</v>
      </c>
      <c r="E558" s="105" t="str">
        <f>IFERROR(VLOOKUP($D558,NUMDIST[],2,FALSE),"DA Non trouvéé")</f>
        <v>KISANGANI - SHOP LA GRACE</v>
      </c>
      <c r="F558" s="12" t="s">
        <v>262</v>
      </c>
      <c r="G558" s="14" t="s">
        <v>7</v>
      </c>
      <c r="H558" s="13">
        <v>775500</v>
      </c>
      <c r="I558" s="13">
        <v>0</v>
      </c>
      <c r="J558" s="12" t="s">
        <v>254</v>
      </c>
      <c r="K558" s="28" t="s">
        <v>263</v>
      </c>
    </row>
    <row r="559" spans="3:11" ht="15.5" thickTop="1" thickBot="1" x14ac:dyDescent="0.4">
      <c r="C559" s="26" t="s">
        <v>293</v>
      </c>
      <c r="D559" s="12">
        <v>95820</v>
      </c>
      <c r="E559" s="105" t="str">
        <f>IFERROR(VLOOKUP($D559,NUMDIST[],2,FALSE),"DA Non trouvéé")</f>
        <v>MONGWALU - MAISON INTEMPORELLE</v>
      </c>
      <c r="F559" s="12" t="s">
        <v>262</v>
      </c>
      <c r="G559" s="14" t="s">
        <v>4</v>
      </c>
      <c r="H559" s="13">
        <v>807500</v>
      </c>
      <c r="I559" s="13">
        <v>0</v>
      </c>
      <c r="J559" s="12" t="s">
        <v>254</v>
      </c>
      <c r="K559" s="28" t="s">
        <v>263</v>
      </c>
    </row>
    <row r="560" spans="3:11" ht="15.5" thickTop="1" thickBot="1" x14ac:dyDescent="0.4">
      <c r="C560" s="26" t="s">
        <v>293</v>
      </c>
      <c r="D560" s="12">
        <v>92117</v>
      </c>
      <c r="E560" s="105" t="str">
        <f>IFERROR(VLOOKUP($D560,NUMDIST[],2,FALSE),"DA Non trouvéé")</f>
        <v>KISANGANI - STAFF FLORY</v>
      </c>
      <c r="F560" s="12" t="s">
        <v>262</v>
      </c>
      <c r="G560" s="14" t="s">
        <v>7</v>
      </c>
      <c r="H560" s="13">
        <v>1175000</v>
      </c>
      <c r="I560" s="13">
        <v>0</v>
      </c>
      <c r="J560" s="12" t="s">
        <v>254</v>
      </c>
      <c r="K560" s="28" t="s">
        <v>263</v>
      </c>
    </row>
    <row r="561" spans="3:11" ht="15.5" thickTop="1" thickBot="1" x14ac:dyDescent="0.4">
      <c r="C561" s="26" t="s">
        <v>293</v>
      </c>
      <c r="D561" s="12">
        <v>106304</v>
      </c>
      <c r="E561" s="105" t="str">
        <f>IFERROR(VLOOKUP($D561,NUMDIST[],2,FALSE),"DA Non trouvéé")</f>
        <v>NORD KIVU - PRINCE BUSINESS</v>
      </c>
      <c r="F561" s="12" t="s">
        <v>262</v>
      </c>
      <c r="G561" s="14" t="s">
        <v>5</v>
      </c>
      <c r="H561" s="13">
        <v>235000</v>
      </c>
      <c r="I561" s="13">
        <v>0</v>
      </c>
      <c r="J561" s="12" t="s">
        <v>254</v>
      </c>
      <c r="K561" s="28" t="s">
        <v>263</v>
      </c>
    </row>
    <row r="562" spans="3:11" ht="15.5" thickTop="1" thickBot="1" x14ac:dyDescent="0.4">
      <c r="C562" s="26" t="s">
        <v>293</v>
      </c>
      <c r="D562" s="12">
        <v>91776</v>
      </c>
      <c r="E562" s="105" t="str">
        <f>IFERROR(VLOOKUP($D562,NUMDIST[],2,FALSE),"DA Non trouvéé")</f>
        <v>BUNIA - IDEAL BUSINESS</v>
      </c>
      <c r="F562" s="12" t="s">
        <v>262</v>
      </c>
      <c r="G562" s="14" t="s">
        <v>19</v>
      </c>
      <c r="H562" s="13">
        <v>763750</v>
      </c>
      <c r="I562" s="13">
        <v>0</v>
      </c>
      <c r="J562" s="12" t="s">
        <v>254</v>
      </c>
      <c r="K562" s="28" t="s">
        <v>263</v>
      </c>
    </row>
    <row r="563" spans="3:11" ht="15.5" thickTop="1" thickBot="1" x14ac:dyDescent="0.4">
      <c r="C563" s="26" t="s">
        <v>293</v>
      </c>
      <c r="D563" s="81">
        <v>104789</v>
      </c>
      <c r="E563" s="105" t="str">
        <f>IFERROR(VLOOKUP($D563,NUMDIST[],2,FALSE),"DA Non trouvéé")</f>
        <v>WATHSA - SHOP SALEM</v>
      </c>
      <c r="F563" s="12" t="s">
        <v>262</v>
      </c>
      <c r="G563" s="14" t="s">
        <v>8</v>
      </c>
      <c r="H563" s="13">
        <v>618500</v>
      </c>
      <c r="I563" s="13">
        <v>0</v>
      </c>
      <c r="J563" s="12" t="s">
        <v>254</v>
      </c>
      <c r="K563" s="28" t="s">
        <v>263</v>
      </c>
    </row>
    <row r="564" spans="3:11" ht="15.5" thickTop="1" thickBot="1" x14ac:dyDescent="0.4">
      <c r="C564" s="26" t="s">
        <v>293</v>
      </c>
      <c r="D564" s="12">
        <v>99337</v>
      </c>
      <c r="E564" s="105" t="str">
        <f>IFERROR(VLOOKUP($D564,NUMDIST[],2,FALSE),"DA Non trouvéé")</f>
        <v>ISIRO - SHOP CHARA HOUSE</v>
      </c>
      <c r="F564" s="12" t="s">
        <v>262</v>
      </c>
      <c r="G564" s="14" t="s">
        <v>7</v>
      </c>
      <c r="H564" s="13">
        <v>1703750</v>
      </c>
      <c r="I564" s="13">
        <v>0</v>
      </c>
      <c r="J564" s="12" t="s">
        <v>254</v>
      </c>
      <c r="K564" s="28" t="s">
        <v>263</v>
      </c>
    </row>
    <row r="565" spans="3:11" ht="15.5" thickTop="1" thickBot="1" x14ac:dyDescent="0.4">
      <c r="C565" s="26" t="s">
        <v>293</v>
      </c>
      <c r="D565" s="12">
        <v>104828</v>
      </c>
      <c r="E565" s="105" t="str">
        <f>IFERROR(VLOOKUP($D565,NUMDIST[],2,FALSE),"DA Non trouvéé")</f>
        <v>WAMBA - MAISON OKAPI</v>
      </c>
      <c r="F565" s="12" t="s">
        <v>262</v>
      </c>
      <c r="G565" s="14" t="s">
        <v>4</v>
      </c>
      <c r="H565" s="13">
        <v>230000</v>
      </c>
      <c r="I565" s="13">
        <v>0</v>
      </c>
      <c r="J565" s="12" t="s">
        <v>254</v>
      </c>
      <c r="K565" s="28" t="s">
        <v>263</v>
      </c>
    </row>
    <row r="566" spans="3:11" ht="15.5" thickTop="1" thickBot="1" x14ac:dyDescent="0.4">
      <c r="C566" s="26" t="s">
        <v>293</v>
      </c>
      <c r="D566" s="12">
        <v>97319</v>
      </c>
      <c r="E566" s="105" t="str">
        <f>IFERROR(VLOOKUP($D566,NUMDIST[],2,FALSE),"DA Non trouvéé")</f>
        <v>ARU - ETS TULUA BUSINESS</v>
      </c>
      <c r="F566" s="12" t="s">
        <v>262</v>
      </c>
      <c r="G566" s="14" t="s">
        <v>5</v>
      </c>
      <c r="H566" s="13">
        <v>1175000</v>
      </c>
      <c r="I566" s="13">
        <v>0</v>
      </c>
      <c r="J566" s="12" t="s">
        <v>254</v>
      </c>
      <c r="K566" s="28" t="s">
        <v>263</v>
      </c>
    </row>
    <row r="567" spans="3:11" ht="15.5" thickTop="1" thickBot="1" x14ac:dyDescent="0.4">
      <c r="C567" s="26" t="s">
        <v>293</v>
      </c>
      <c r="D567" s="12">
        <v>95823</v>
      </c>
      <c r="E567" s="105" t="str">
        <f>IFERROR(VLOOKUP($D567,NUMDIST[],2,FALSE),"DA Non trouvéé")</f>
        <v>BUNIA - ETS CANAL BIA</v>
      </c>
      <c r="F567" s="12" t="s">
        <v>262</v>
      </c>
      <c r="G567" s="14" t="s">
        <v>19</v>
      </c>
      <c r="H567" s="13">
        <v>470000</v>
      </c>
      <c r="I567" s="13">
        <v>0</v>
      </c>
      <c r="J567" s="12" t="s">
        <v>254</v>
      </c>
      <c r="K567" s="28" t="s">
        <v>263</v>
      </c>
    </row>
    <row r="568" spans="3:11" ht="15.5" thickTop="1" thickBot="1" x14ac:dyDescent="0.4">
      <c r="C568" s="26" t="s">
        <v>293</v>
      </c>
      <c r="D568" s="12">
        <v>85182</v>
      </c>
      <c r="E568" s="105" t="str">
        <f>IFERROR(VLOOKUP($D568,NUMDIST[],2,FALSE),"DA Non trouvéé")</f>
        <v>BUNIA - AD INVESTMENT</v>
      </c>
      <c r="F568" s="12" t="s">
        <v>262</v>
      </c>
      <c r="G568" s="14" t="s">
        <v>19</v>
      </c>
      <c r="H568" s="13">
        <v>799000</v>
      </c>
      <c r="I568" s="13">
        <v>0</v>
      </c>
      <c r="J568" s="12" t="s">
        <v>254</v>
      </c>
      <c r="K568" s="28" t="s">
        <v>263</v>
      </c>
    </row>
    <row r="569" spans="3:11" ht="15.5" thickTop="1" thickBot="1" x14ac:dyDescent="0.4">
      <c r="C569" s="26" t="s">
        <v>293</v>
      </c>
      <c r="D569" s="12">
        <v>36710</v>
      </c>
      <c r="E569" s="105" t="str">
        <f>IFERROR(VLOOKUP($D569,NUMDIST[],2,FALSE),"DA Non trouvéé")</f>
        <v>BUNIA - BOUTIQUE JPS DM</v>
      </c>
      <c r="F569" s="12" t="s">
        <v>262</v>
      </c>
      <c r="G569" s="14" t="s">
        <v>19</v>
      </c>
      <c r="H569" s="13">
        <v>1927500</v>
      </c>
      <c r="I569" s="13">
        <v>0</v>
      </c>
      <c r="J569" s="12" t="s">
        <v>254</v>
      </c>
      <c r="K569" s="28" t="s">
        <v>263</v>
      </c>
    </row>
    <row r="570" spans="3:11" ht="15.5" thickTop="1" thickBot="1" x14ac:dyDescent="0.4">
      <c r="C570" s="26" t="s">
        <v>293</v>
      </c>
      <c r="D570" s="12">
        <v>71087</v>
      </c>
      <c r="E570" s="105" t="str">
        <f>IFERROR(VLOOKUP($D570,NUMDIST[],2,FALSE),"DA Non trouvéé")</f>
        <v>ETS CALIFORNIE</v>
      </c>
      <c r="F570" s="12" t="s">
        <v>262</v>
      </c>
      <c r="G570" s="14" t="s">
        <v>19</v>
      </c>
      <c r="H570" s="13">
        <v>470000</v>
      </c>
      <c r="I570" s="13">
        <v>0</v>
      </c>
      <c r="J570" s="12" t="s">
        <v>254</v>
      </c>
      <c r="K570" s="28" t="s">
        <v>263</v>
      </c>
    </row>
    <row r="571" spans="3:11" ht="15.5" thickTop="1" thickBot="1" x14ac:dyDescent="0.4">
      <c r="C571" s="26" t="s">
        <v>293</v>
      </c>
      <c r="D571" s="12">
        <v>90164</v>
      </c>
      <c r="E571" s="105" t="str">
        <f>IFERROR(VLOOKUP($D571,NUMDIST[],2,FALSE),"DA Non trouvéé")</f>
        <v>BUNIA - ALPHA SHOP</v>
      </c>
      <c r="F571" s="12" t="s">
        <v>262</v>
      </c>
      <c r="G571" s="14" t="s">
        <v>8</v>
      </c>
      <c r="H571" s="13">
        <v>470000</v>
      </c>
      <c r="I571" s="13">
        <v>0</v>
      </c>
      <c r="J571" s="12" t="s">
        <v>254</v>
      </c>
      <c r="K571" s="28" t="s">
        <v>263</v>
      </c>
    </row>
    <row r="572" spans="3:11" ht="15.5" thickTop="1" thickBot="1" x14ac:dyDescent="0.4">
      <c r="C572" s="26" t="s">
        <v>293</v>
      </c>
      <c r="D572" s="12">
        <v>36433</v>
      </c>
      <c r="E572" s="105" t="str">
        <f>IFERROR(VLOOKUP($D572,NUMDIST[],2,FALSE),"DA Non trouvéé")</f>
        <v>BUNIA - CHEZ JUSTIN</v>
      </c>
      <c r="F572" s="12" t="s">
        <v>262</v>
      </c>
      <c r="G572" s="14" t="s">
        <v>7</v>
      </c>
      <c r="H572" s="13">
        <v>1175000</v>
      </c>
      <c r="I572" s="13">
        <v>0</v>
      </c>
      <c r="J572" s="12" t="s">
        <v>254</v>
      </c>
      <c r="K572" s="28" t="s">
        <v>263</v>
      </c>
    </row>
    <row r="573" spans="3:11" ht="15.5" thickTop="1" thickBot="1" x14ac:dyDescent="0.4">
      <c r="C573" s="26" t="s">
        <v>293</v>
      </c>
      <c r="D573" s="12">
        <v>103979</v>
      </c>
      <c r="E573" s="105" t="str">
        <f>IFERROR(VLOOKUP($D573,NUMDIST[],2,FALSE),"DA Non trouvéé")</f>
        <v>ARU -SHOP ELOHIM</v>
      </c>
      <c r="F573" s="12" t="s">
        <v>262</v>
      </c>
      <c r="G573" s="14" t="s">
        <v>4</v>
      </c>
      <c r="H573" s="13">
        <v>235000</v>
      </c>
      <c r="I573" s="13">
        <v>0</v>
      </c>
      <c r="J573" s="12" t="s">
        <v>254</v>
      </c>
      <c r="K573" s="28" t="s">
        <v>263</v>
      </c>
    </row>
    <row r="574" spans="3:11" ht="15.5" thickTop="1" thickBot="1" x14ac:dyDescent="0.4">
      <c r="C574" s="26" t="s">
        <v>293</v>
      </c>
      <c r="D574" s="12">
        <v>34597</v>
      </c>
      <c r="E574" s="105" t="str">
        <f>IFERROR(VLOOKUP($D574,NUMDIST[],2,FALSE),"DA Non trouvéé")</f>
        <v>ETABLISSEMENT-  JPS DM BIGO</v>
      </c>
      <c r="F574" s="12" t="s">
        <v>262</v>
      </c>
      <c r="G574" s="14" t="s">
        <v>7</v>
      </c>
      <c r="H574" s="13">
        <v>608000</v>
      </c>
      <c r="I574" s="13">
        <v>0</v>
      </c>
      <c r="J574" s="12" t="s">
        <v>254</v>
      </c>
      <c r="K574" s="28" t="s">
        <v>263</v>
      </c>
    </row>
    <row r="575" spans="3:11" ht="15.5" thickTop="1" thickBot="1" x14ac:dyDescent="0.4">
      <c r="C575" s="26" t="s">
        <v>293</v>
      </c>
      <c r="D575" s="12">
        <v>36272</v>
      </c>
      <c r="E575" s="105" t="str">
        <f>IFERROR(VLOOKUP($D575,NUMDIST[],2,FALSE),"DA Non trouvéé")</f>
        <v>BUNIA - JPS DM</v>
      </c>
      <c r="F575" s="12" t="s">
        <v>273</v>
      </c>
      <c r="G575" s="14" t="s">
        <v>7</v>
      </c>
      <c r="H575" s="13">
        <v>0</v>
      </c>
      <c r="I575" s="13">
        <v>47119850</v>
      </c>
      <c r="J575" s="12" t="s">
        <v>254</v>
      </c>
      <c r="K575" s="28" t="s">
        <v>276</v>
      </c>
    </row>
    <row r="576" spans="3:11" ht="15.5" thickTop="1" thickBot="1" x14ac:dyDescent="0.4">
      <c r="C576" s="26" t="s">
        <v>294</v>
      </c>
      <c r="D576" s="12">
        <v>90163</v>
      </c>
      <c r="E576" s="105" t="str">
        <f>IFERROR(VLOOKUP($D576,NUMDIST[],2,FALSE),"DA Non trouvéé")</f>
        <v>BUTEMBO - GRANDEUR DIVINE SHOP</v>
      </c>
      <c r="F576" s="12" t="s">
        <v>262</v>
      </c>
      <c r="G576" s="14" t="s">
        <v>7</v>
      </c>
      <c r="H576" s="13">
        <v>500000</v>
      </c>
      <c r="I576" s="13">
        <v>0</v>
      </c>
      <c r="J576" s="12" t="s">
        <v>254</v>
      </c>
      <c r="K576" s="28" t="s">
        <v>263</v>
      </c>
    </row>
    <row r="577" spans="3:11" ht="15.5" thickTop="1" thickBot="1" x14ac:dyDescent="0.4">
      <c r="C577" s="26" t="s">
        <v>294</v>
      </c>
      <c r="D577" s="12">
        <v>87012</v>
      </c>
      <c r="E577" s="105" t="str">
        <f>IFERROR(VLOOKUP($D577,NUMDIST[],2,FALSE),"DA Non trouvéé")</f>
        <v>BUNIA - ETS AIGLE</v>
      </c>
      <c r="F577" s="12" t="s">
        <v>262</v>
      </c>
      <c r="G577" s="14" t="s">
        <v>4</v>
      </c>
      <c r="H577" s="13">
        <v>235000</v>
      </c>
      <c r="I577" s="13">
        <v>0</v>
      </c>
      <c r="J577" s="12" t="s">
        <v>254</v>
      </c>
      <c r="K577" s="28" t="s">
        <v>263</v>
      </c>
    </row>
    <row r="578" spans="3:11" ht="15.5" thickTop="1" thickBot="1" x14ac:dyDescent="0.4">
      <c r="C578" s="26" t="s">
        <v>294</v>
      </c>
      <c r="D578" s="12">
        <v>95818</v>
      </c>
      <c r="E578" s="105" t="str">
        <f>IFERROR(VLOOKUP($D578,NUMDIST[],2,FALSE),"DA Non trouvéé")</f>
        <v>BUNIA - SHOP BLESSING</v>
      </c>
      <c r="F578" s="12" t="s">
        <v>262</v>
      </c>
      <c r="G578" s="14" t="s">
        <v>19</v>
      </c>
      <c r="H578" s="13">
        <v>235000</v>
      </c>
      <c r="I578" s="13">
        <v>0</v>
      </c>
      <c r="J578" s="12" t="s">
        <v>254</v>
      </c>
      <c r="K578" s="28" t="s">
        <v>263</v>
      </c>
    </row>
    <row r="579" spans="3:11" ht="15.5" thickTop="1" thickBot="1" x14ac:dyDescent="0.4">
      <c r="C579" s="26" t="s">
        <v>294</v>
      </c>
      <c r="D579" s="12">
        <v>55349</v>
      </c>
      <c r="E579" s="105" t="str">
        <f>IFERROR(VLOOKUP($D579,NUMDIST[],2,FALSE),"DA Non trouvéé")</f>
        <v>ISIRO - LES AMIS</v>
      </c>
      <c r="F579" s="12" t="s">
        <v>262</v>
      </c>
      <c r="G579" s="14" t="s">
        <v>7</v>
      </c>
      <c r="H579" s="13">
        <v>253800</v>
      </c>
      <c r="I579" s="13">
        <v>0</v>
      </c>
      <c r="J579" s="12" t="s">
        <v>254</v>
      </c>
      <c r="K579" s="28" t="s">
        <v>263</v>
      </c>
    </row>
    <row r="580" spans="3:11" ht="15.5" thickTop="1" thickBot="1" x14ac:dyDescent="0.4">
      <c r="C580" s="26" t="s">
        <v>294</v>
      </c>
      <c r="D580" s="12">
        <v>36112</v>
      </c>
      <c r="E580" s="105" t="str">
        <f>IFERROR(VLOOKUP($D580,NUMDIST[],2,FALSE),"DA Non trouvéé")</f>
        <v>SUD KIVU - ETS AGRIPPINE</v>
      </c>
      <c r="F580" s="12" t="s">
        <v>262</v>
      </c>
      <c r="G580" s="14" t="s">
        <v>5</v>
      </c>
      <c r="H580" s="13">
        <v>235000</v>
      </c>
      <c r="I580" s="13">
        <v>0</v>
      </c>
      <c r="J580" s="12" t="s">
        <v>254</v>
      </c>
      <c r="K580" s="28" t="s">
        <v>263</v>
      </c>
    </row>
    <row r="581" spans="3:11" ht="15.5" thickTop="1" thickBot="1" x14ac:dyDescent="0.4">
      <c r="C581" s="26" t="s">
        <v>294</v>
      </c>
      <c r="D581" s="12">
        <v>79743</v>
      </c>
      <c r="E581" s="105" t="str">
        <f>IFERROR(VLOOKUP($D581,NUMDIST[],2,FALSE),"DA Non trouvéé")</f>
        <v>KASINDI - SHOP ROLKO</v>
      </c>
      <c r="F581" s="12" t="s">
        <v>262</v>
      </c>
      <c r="G581" s="14" t="s">
        <v>7</v>
      </c>
      <c r="H581" s="13">
        <v>622750</v>
      </c>
      <c r="I581" s="13">
        <v>0</v>
      </c>
      <c r="J581" s="12" t="s">
        <v>254</v>
      </c>
      <c r="K581" s="28" t="s">
        <v>263</v>
      </c>
    </row>
    <row r="582" spans="3:11" ht="15.5" thickTop="1" thickBot="1" x14ac:dyDescent="0.4">
      <c r="C582" s="26" t="s">
        <v>294</v>
      </c>
      <c r="D582" s="12">
        <v>42153</v>
      </c>
      <c r="E582" s="105" t="str">
        <f>IFERROR(VLOOKUP($D582,NUMDIST[],2,FALSE),"DA Non trouvéé")</f>
        <v>BUNIA - ETS SALEM</v>
      </c>
      <c r="F582" s="12" t="s">
        <v>262</v>
      </c>
      <c r="G582" s="14" t="s">
        <v>5</v>
      </c>
      <c r="H582" s="13">
        <v>658000</v>
      </c>
      <c r="I582" s="13">
        <v>0</v>
      </c>
      <c r="J582" s="12" t="s">
        <v>254</v>
      </c>
      <c r="K582" s="28" t="s">
        <v>263</v>
      </c>
    </row>
    <row r="583" spans="3:11" ht="15.5" thickTop="1" thickBot="1" x14ac:dyDescent="0.4">
      <c r="C583" s="26" t="s">
        <v>294</v>
      </c>
      <c r="D583" s="12">
        <v>91404</v>
      </c>
      <c r="E583" s="105" t="str">
        <f>IFERROR(VLOOKUP($D583,NUMDIST[],2,FALSE),"DA Non trouvéé")</f>
        <v>GOMA - SHOP GOMA</v>
      </c>
      <c r="F583" s="12" t="s">
        <v>262</v>
      </c>
      <c r="G583" s="14" t="s">
        <v>5</v>
      </c>
      <c r="H583" s="13">
        <v>357200</v>
      </c>
      <c r="I583" s="13">
        <v>0</v>
      </c>
      <c r="J583" s="12" t="s">
        <v>254</v>
      </c>
      <c r="K583" s="28" t="s">
        <v>263</v>
      </c>
    </row>
    <row r="584" spans="3:11" ht="15.5" thickTop="1" thickBot="1" x14ac:dyDescent="0.4">
      <c r="C584" s="26" t="s">
        <v>294</v>
      </c>
      <c r="D584" s="12">
        <v>87013</v>
      </c>
      <c r="E584" s="105" t="str">
        <f>IFERROR(VLOOKUP($D584,NUMDIST[],2,FALSE),"DA Non trouvéé")</f>
        <v>BUNIA - JC SANS TACHES</v>
      </c>
      <c r="F584" s="12" t="s">
        <v>262</v>
      </c>
      <c r="G584" s="14" t="s">
        <v>4</v>
      </c>
      <c r="H584" s="13">
        <v>390000</v>
      </c>
      <c r="I584" s="13">
        <v>0</v>
      </c>
      <c r="J584" s="12" t="s">
        <v>254</v>
      </c>
      <c r="K584" s="28" t="s">
        <v>263</v>
      </c>
    </row>
    <row r="585" spans="3:11" ht="15.5" thickTop="1" thickBot="1" x14ac:dyDescent="0.4">
      <c r="C585" s="26" t="s">
        <v>294</v>
      </c>
      <c r="D585" s="12">
        <v>85827</v>
      </c>
      <c r="E585" s="105" t="str">
        <f>IFERROR(VLOOKUP($D585,NUMDIST[],2,FALSE),"DA Non trouvéé")</f>
        <v>KISANGANI - SHOP LA GRACE</v>
      </c>
      <c r="F585" s="12" t="s">
        <v>262</v>
      </c>
      <c r="G585" s="14" t="s">
        <v>7</v>
      </c>
      <c r="H585" s="13">
        <v>1551000</v>
      </c>
      <c r="I585" s="13">
        <v>0</v>
      </c>
      <c r="J585" s="12" t="s">
        <v>254</v>
      </c>
      <c r="K585" s="28" t="s">
        <v>263</v>
      </c>
    </row>
    <row r="586" spans="3:11" ht="15.5" thickTop="1" thickBot="1" x14ac:dyDescent="0.4">
      <c r="C586" s="26" t="s">
        <v>294</v>
      </c>
      <c r="D586" s="12">
        <v>90192</v>
      </c>
      <c r="E586" s="105" t="str">
        <f>IFERROR(VLOOKUP($D586,NUMDIST[],2,FALSE),"DA Non trouvéé")</f>
        <v>BUKAVU - ETS LA GLOIRE</v>
      </c>
      <c r="F586" s="12" t="s">
        <v>262</v>
      </c>
      <c r="G586" s="14" t="s">
        <v>5</v>
      </c>
      <c r="H586" s="13">
        <v>564000</v>
      </c>
      <c r="I586" s="13">
        <v>0</v>
      </c>
      <c r="J586" s="12" t="s">
        <v>254</v>
      </c>
      <c r="K586" s="28" t="s">
        <v>263</v>
      </c>
    </row>
    <row r="587" spans="3:11" ht="15.5" thickTop="1" thickBot="1" x14ac:dyDescent="0.4">
      <c r="C587" s="26" t="s">
        <v>294</v>
      </c>
      <c r="D587" s="12">
        <v>87503</v>
      </c>
      <c r="E587" s="105" t="str">
        <f>IFERROR(VLOOKUP($D587,NUMDIST[],2,FALSE),"DA Non trouvéé")</f>
        <v>BUKAVU - ETS DIEU EST GRAND</v>
      </c>
      <c r="F587" s="12" t="s">
        <v>262</v>
      </c>
      <c r="G587" s="14" t="s">
        <v>7</v>
      </c>
      <c r="H587" s="13">
        <v>470000</v>
      </c>
      <c r="I587" s="13">
        <v>0</v>
      </c>
      <c r="J587" s="12" t="s">
        <v>254</v>
      </c>
      <c r="K587" s="28" t="s">
        <v>263</v>
      </c>
    </row>
    <row r="588" spans="3:11" ht="15.5" thickTop="1" thickBot="1" x14ac:dyDescent="0.4">
      <c r="C588" s="26" t="s">
        <v>294</v>
      </c>
      <c r="D588" s="12">
        <v>91377</v>
      </c>
      <c r="E588" s="105" t="str">
        <f>IFERROR(VLOOKUP($D588,NUMDIST[],2,FALSE),"DA Non trouvéé")</f>
        <v>BUTEMBO - BMSHOP</v>
      </c>
      <c r="F588" s="12" t="s">
        <v>262</v>
      </c>
      <c r="G588" s="14" t="s">
        <v>5</v>
      </c>
      <c r="H588" s="13">
        <v>705000</v>
      </c>
      <c r="I588" s="13">
        <v>0</v>
      </c>
      <c r="J588" s="12" t="s">
        <v>254</v>
      </c>
      <c r="K588" s="28" t="s">
        <v>263</v>
      </c>
    </row>
    <row r="589" spans="3:11" ht="15.5" thickTop="1" thickBot="1" x14ac:dyDescent="0.4">
      <c r="C589" s="26" t="s">
        <v>294</v>
      </c>
      <c r="D589" s="12">
        <v>36433</v>
      </c>
      <c r="E589" s="105" t="str">
        <f>IFERROR(VLOOKUP($D589,NUMDIST[],2,FALSE),"DA Non trouvéé")</f>
        <v>BUNIA - CHEZ JUSTIN</v>
      </c>
      <c r="F589" s="12" t="s">
        <v>262</v>
      </c>
      <c r="G589" s="14" t="s">
        <v>7</v>
      </c>
      <c r="H589" s="13">
        <v>1175000</v>
      </c>
      <c r="I589" s="13">
        <v>0</v>
      </c>
      <c r="J589" s="12" t="s">
        <v>254</v>
      </c>
      <c r="K589" s="28" t="s">
        <v>263</v>
      </c>
    </row>
    <row r="590" spans="3:11" ht="15.5" thickTop="1" thickBot="1" x14ac:dyDescent="0.4">
      <c r="C590" s="26" t="s">
        <v>294</v>
      </c>
      <c r="D590" s="12">
        <v>90174</v>
      </c>
      <c r="E590" s="105" t="str">
        <f>IFERROR(VLOOKUP($D590,NUMDIST[],2,FALSE),"DA Non trouvéé")</f>
        <v>MAHAGI - ETS JACQUES PLUS</v>
      </c>
      <c r="F590" s="12" t="s">
        <v>262</v>
      </c>
      <c r="G590" s="14" t="s">
        <v>4</v>
      </c>
      <c r="H590" s="13">
        <v>235000</v>
      </c>
      <c r="I590" s="13">
        <v>0</v>
      </c>
      <c r="J590" s="12" t="s">
        <v>254</v>
      </c>
      <c r="K590" s="28" t="s">
        <v>263</v>
      </c>
    </row>
    <row r="591" spans="3:11" ht="15.5" thickTop="1" thickBot="1" x14ac:dyDescent="0.4">
      <c r="C591" s="26" t="s">
        <v>294</v>
      </c>
      <c r="D591" s="12">
        <v>71084</v>
      </c>
      <c r="E591" s="105" t="str">
        <f>IFERROR(VLOOKUP($D591,NUMDIST[],2,FALSE),"DA Non trouvéé")</f>
        <v>DURBA - Ets HUSSUMA BUSINESS</v>
      </c>
      <c r="F591" s="12" t="s">
        <v>262</v>
      </c>
      <c r="G591" s="14" t="s">
        <v>7</v>
      </c>
      <c r="H591" s="13">
        <v>5303950</v>
      </c>
      <c r="I591" s="13">
        <v>0</v>
      </c>
      <c r="J591" s="12" t="s">
        <v>254</v>
      </c>
      <c r="K591" s="28" t="s">
        <v>263</v>
      </c>
    </row>
    <row r="592" spans="3:11" ht="15.5" thickTop="1" thickBot="1" x14ac:dyDescent="0.4">
      <c r="C592" s="26" t="s">
        <v>294</v>
      </c>
      <c r="D592" s="12">
        <v>36431</v>
      </c>
      <c r="E592" s="105" t="str">
        <f>IFERROR(VLOOKUP($D592,NUMDIST[],2,FALSE),"DA Non trouvéé")</f>
        <v>Isiro - MACAMPAGNE</v>
      </c>
      <c r="F592" s="12" t="s">
        <v>262</v>
      </c>
      <c r="G592" s="14" t="s">
        <v>8</v>
      </c>
      <c r="H592" s="13">
        <v>813000</v>
      </c>
      <c r="I592" s="13">
        <v>0</v>
      </c>
      <c r="J592" s="12" t="s">
        <v>254</v>
      </c>
      <c r="K592" s="28" t="s">
        <v>263</v>
      </c>
    </row>
    <row r="593" spans="3:11" ht="15.5" thickTop="1" thickBot="1" x14ac:dyDescent="0.4">
      <c r="C593" s="26" t="s">
        <v>294</v>
      </c>
      <c r="D593" s="12">
        <v>85814</v>
      </c>
      <c r="E593" s="105" t="str">
        <f>IFERROR(VLOOKUP($D593,NUMDIST[],2,FALSE),"DA Non trouvéé")</f>
        <v>BUNIA - DIMA NET</v>
      </c>
      <c r="F593" s="12" t="s">
        <v>262</v>
      </c>
      <c r="G593" s="14" t="s">
        <v>19</v>
      </c>
      <c r="H593" s="13">
        <v>235000</v>
      </c>
      <c r="I593" s="13">
        <v>0</v>
      </c>
      <c r="J593" s="12" t="s">
        <v>254</v>
      </c>
      <c r="K593" s="28" t="s">
        <v>263</v>
      </c>
    </row>
    <row r="594" spans="3:11" ht="15.5" thickTop="1" thickBot="1" x14ac:dyDescent="0.4">
      <c r="C594" s="26" t="s">
        <v>294</v>
      </c>
      <c r="D594" s="12">
        <v>99337</v>
      </c>
      <c r="E594" s="105" t="str">
        <f>IFERROR(VLOOKUP($D594,NUMDIST[],2,FALSE),"DA Non trouvéé")</f>
        <v>ISIRO - SHOP CHARA HOUSE</v>
      </c>
      <c r="F594" s="12" t="s">
        <v>262</v>
      </c>
      <c r="G594" s="14" t="s">
        <v>7</v>
      </c>
      <c r="H594" s="13">
        <v>818200</v>
      </c>
      <c r="I594" s="13">
        <v>0</v>
      </c>
      <c r="J594" s="12" t="s">
        <v>254</v>
      </c>
      <c r="K594" s="28" t="s">
        <v>263</v>
      </c>
    </row>
    <row r="595" spans="3:11" ht="15.5" thickTop="1" thickBot="1" x14ac:dyDescent="0.4">
      <c r="C595" s="26" t="s">
        <v>294</v>
      </c>
      <c r="D595" s="12">
        <v>95823</v>
      </c>
      <c r="E595" s="105" t="str">
        <f>IFERROR(VLOOKUP($D595,NUMDIST[],2,FALSE),"DA Non trouvéé")</f>
        <v>BUNIA - ETS CANAL BIA</v>
      </c>
      <c r="F595" s="12" t="s">
        <v>262</v>
      </c>
      <c r="G595" s="14" t="s">
        <v>19</v>
      </c>
      <c r="H595" s="13">
        <v>705000</v>
      </c>
      <c r="I595" s="13">
        <v>0</v>
      </c>
      <c r="J595" s="12" t="s">
        <v>254</v>
      </c>
      <c r="K595" s="28" t="s">
        <v>263</v>
      </c>
    </row>
    <row r="596" spans="3:11" ht="15.5" thickTop="1" thickBot="1" x14ac:dyDescent="0.4">
      <c r="C596" s="26" t="s">
        <v>294</v>
      </c>
      <c r="D596" s="12">
        <v>90182</v>
      </c>
      <c r="E596" s="105" t="str">
        <f>IFERROR(VLOOKUP($D596,NUMDIST[],2,FALSE),"DA Non trouvéé")</f>
        <v>BUNIA - PAPA MALO</v>
      </c>
      <c r="F596" s="12" t="s">
        <v>262</v>
      </c>
      <c r="G596" s="14" t="s">
        <v>7</v>
      </c>
      <c r="H596" s="13">
        <v>352500</v>
      </c>
      <c r="I596" s="13">
        <v>0</v>
      </c>
      <c r="J596" s="12" t="s">
        <v>254</v>
      </c>
      <c r="K596" s="28" t="s">
        <v>263</v>
      </c>
    </row>
    <row r="597" spans="3:11" ht="15.5" thickTop="1" thickBot="1" x14ac:dyDescent="0.4">
      <c r="C597" s="26" t="s">
        <v>294</v>
      </c>
      <c r="D597" s="12">
        <v>84318</v>
      </c>
      <c r="E597" s="105" t="str">
        <f>IFERROR(VLOOKUP($D597,NUMDIST[],2,FALSE),"DA Non trouvéé")</f>
        <v>BUTEMBO - FONDATION RUMY</v>
      </c>
      <c r="F597" s="12" t="s">
        <v>262</v>
      </c>
      <c r="G597" s="14" t="s">
        <v>7</v>
      </c>
      <c r="H597" s="13">
        <v>235000</v>
      </c>
      <c r="I597" s="13">
        <v>0</v>
      </c>
      <c r="J597" s="12" t="s">
        <v>254</v>
      </c>
      <c r="K597" s="28" t="s">
        <v>263</v>
      </c>
    </row>
    <row r="598" spans="3:11" ht="15.5" thickTop="1" thickBot="1" x14ac:dyDescent="0.4">
      <c r="C598" s="26" t="s">
        <v>294</v>
      </c>
      <c r="D598" s="12">
        <v>91399</v>
      </c>
      <c r="E598" s="105" t="str">
        <f>IFERROR(VLOOKUP($D598,NUMDIST[],2,FALSE),"DA Non trouvéé")</f>
        <v>GOMA - SHOP SIKJOE</v>
      </c>
      <c r="F598" s="12" t="s">
        <v>262</v>
      </c>
      <c r="G598" s="14" t="s">
        <v>5</v>
      </c>
      <c r="H598" s="13">
        <v>235000</v>
      </c>
      <c r="I598" s="13">
        <v>0</v>
      </c>
      <c r="J598" s="12" t="s">
        <v>254</v>
      </c>
      <c r="K598" s="28" t="s">
        <v>263</v>
      </c>
    </row>
    <row r="599" spans="3:11" ht="15.5" thickTop="1" thickBot="1" x14ac:dyDescent="0.4">
      <c r="C599" s="26" t="s">
        <v>294</v>
      </c>
      <c r="D599" s="12">
        <v>36710</v>
      </c>
      <c r="E599" s="105" t="str">
        <f>IFERROR(VLOOKUP($D599,NUMDIST[],2,FALSE),"DA Non trouvéé")</f>
        <v>BUNIA - BOUTIQUE JPS DM</v>
      </c>
      <c r="F599" s="12" t="s">
        <v>262</v>
      </c>
      <c r="G599" s="14" t="s">
        <v>19</v>
      </c>
      <c r="H599" s="13">
        <v>2023900</v>
      </c>
      <c r="I599" s="13">
        <v>0</v>
      </c>
      <c r="J599" s="12" t="s">
        <v>254</v>
      </c>
      <c r="K599" s="28" t="s">
        <v>263</v>
      </c>
    </row>
    <row r="600" spans="3:11" ht="15.5" thickTop="1" thickBot="1" x14ac:dyDescent="0.4">
      <c r="C600" s="26" t="s">
        <v>294</v>
      </c>
      <c r="D600" s="12">
        <v>55350</v>
      </c>
      <c r="E600" s="105" t="str">
        <f>IFERROR(VLOOKUP($D600,NUMDIST[],2,FALSE),"DA Non trouvéé")</f>
        <v>OICHA - CLINIQUE ORDINATEURS</v>
      </c>
      <c r="F600" s="12" t="s">
        <v>262</v>
      </c>
      <c r="G600" s="14" t="s">
        <v>5</v>
      </c>
      <c r="H600" s="13">
        <v>540500</v>
      </c>
      <c r="I600" s="13">
        <v>0</v>
      </c>
      <c r="J600" s="12" t="s">
        <v>254</v>
      </c>
      <c r="K600" s="28" t="s">
        <v>263</v>
      </c>
    </row>
    <row r="601" spans="3:11" ht="15.5" thickTop="1" thickBot="1" x14ac:dyDescent="0.4">
      <c r="C601" s="26" t="s">
        <v>294</v>
      </c>
      <c r="D601" s="12">
        <v>55349</v>
      </c>
      <c r="E601" s="105" t="str">
        <f>IFERROR(VLOOKUP($D601,NUMDIST[],2,FALSE),"DA Non trouvéé")</f>
        <v>ISIRO - LES AMIS</v>
      </c>
      <c r="F601" s="12" t="s">
        <v>262</v>
      </c>
      <c r="G601" s="14" t="s">
        <v>7</v>
      </c>
      <c r="H601" s="13">
        <v>655650</v>
      </c>
      <c r="I601" s="13">
        <v>0</v>
      </c>
      <c r="J601" s="12" t="s">
        <v>254</v>
      </c>
      <c r="K601" s="28" t="s">
        <v>263</v>
      </c>
    </row>
    <row r="602" spans="3:11" ht="15.5" thickTop="1" thickBot="1" x14ac:dyDescent="0.4">
      <c r="C602" s="26" t="s">
        <v>294</v>
      </c>
      <c r="D602" s="12">
        <v>59057</v>
      </c>
      <c r="E602" s="105" t="str">
        <f>IFERROR(VLOOKUP($D602,NUMDIST[],2,FALSE),"DA Non trouvéé")</f>
        <v>ITURI - ETS BJSE</v>
      </c>
      <c r="F602" s="12" t="s">
        <v>262</v>
      </c>
      <c r="G602" s="14" t="s">
        <v>19</v>
      </c>
      <c r="H602" s="13">
        <v>2350000</v>
      </c>
      <c r="I602" s="13">
        <v>0</v>
      </c>
      <c r="J602" s="12" t="s">
        <v>254</v>
      </c>
      <c r="K602" s="28" t="s">
        <v>263</v>
      </c>
    </row>
    <row r="603" spans="3:11" ht="15.5" thickTop="1" thickBot="1" x14ac:dyDescent="0.4">
      <c r="C603" s="26" t="s">
        <v>294</v>
      </c>
      <c r="D603" s="12">
        <v>34597</v>
      </c>
      <c r="E603" s="105" t="str">
        <f>IFERROR(VLOOKUP($D603,NUMDIST[],2,FALSE),"DA Non trouvéé")</f>
        <v>ETABLISSEMENT-  JPS DM BIGO</v>
      </c>
      <c r="F603" s="12" t="s">
        <v>262</v>
      </c>
      <c r="G603" s="14" t="s">
        <v>7</v>
      </c>
      <c r="H603" s="13">
        <v>643430</v>
      </c>
      <c r="I603" s="13">
        <v>0</v>
      </c>
      <c r="J603" s="12" t="s">
        <v>254</v>
      </c>
      <c r="K603" s="28" t="s">
        <v>263</v>
      </c>
    </row>
    <row r="604" spans="3:11" ht="15.5" thickTop="1" thickBot="1" x14ac:dyDescent="0.4">
      <c r="C604" s="26" t="s">
        <v>294</v>
      </c>
      <c r="D604" s="12">
        <v>42152</v>
      </c>
      <c r="E604" s="105" t="str">
        <f>IFERROR(VLOOKUP($D604,NUMDIST[],2,FALSE),"DA Non trouvéé")</f>
        <v>Bunia - Ets SKY</v>
      </c>
      <c r="F604" s="12" t="s">
        <v>262</v>
      </c>
      <c r="G604" s="14" t="s">
        <v>4</v>
      </c>
      <c r="H604" s="13">
        <v>970000</v>
      </c>
      <c r="I604" s="13">
        <v>0</v>
      </c>
      <c r="J604" s="12" t="s">
        <v>254</v>
      </c>
      <c r="K604" s="28" t="s">
        <v>263</v>
      </c>
    </row>
    <row r="605" spans="3:11" ht="15.5" thickTop="1" thickBot="1" x14ac:dyDescent="0.4">
      <c r="C605" s="26" t="s">
        <v>294</v>
      </c>
      <c r="D605" s="12">
        <v>90134</v>
      </c>
      <c r="E605" s="105" t="str">
        <f>IFERROR(VLOOKUP($D605,NUMDIST[],2,FALSE),"DA Non trouvéé")</f>
        <v>KISANGANI - ETS SOLUTION PLUS</v>
      </c>
      <c r="F605" s="12" t="s">
        <v>262</v>
      </c>
      <c r="G605" s="14" t="s">
        <v>4</v>
      </c>
      <c r="H605" s="13">
        <v>510000</v>
      </c>
      <c r="I605" s="13">
        <v>0</v>
      </c>
      <c r="J605" s="12" t="s">
        <v>254</v>
      </c>
      <c r="K605" s="28" t="s">
        <v>263</v>
      </c>
    </row>
    <row r="606" spans="3:11" ht="15.5" thickTop="1" thickBot="1" x14ac:dyDescent="0.4">
      <c r="C606" s="26" t="s">
        <v>294</v>
      </c>
      <c r="D606" s="12">
        <v>90176</v>
      </c>
      <c r="E606" s="105" t="str">
        <f>IFERROR(VLOOKUP($D606,NUMDIST[],2,FALSE),"DA Non trouvéé")</f>
        <v>BUNIA - SHOP MATATA</v>
      </c>
      <c r="F606" s="12" t="s">
        <v>262</v>
      </c>
      <c r="G606" s="14" t="s">
        <v>7</v>
      </c>
      <c r="H606" s="13">
        <v>470000</v>
      </c>
      <c r="I606" s="13">
        <v>0</v>
      </c>
      <c r="J606" s="12" t="s">
        <v>254</v>
      </c>
      <c r="K606" s="28" t="s">
        <v>263</v>
      </c>
    </row>
    <row r="607" spans="3:11" ht="15.5" thickTop="1" thickBot="1" x14ac:dyDescent="0.4">
      <c r="C607" s="26" t="s">
        <v>294</v>
      </c>
      <c r="D607" s="12">
        <v>90173</v>
      </c>
      <c r="E607" s="105" t="str">
        <f>IFERROR(VLOOKUP($D607,NUMDIST[],2,FALSE),"DA Non trouvéé")</f>
        <v>BUNIA - ZI BUSINESS</v>
      </c>
      <c r="F607" s="12" t="s">
        <v>262</v>
      </c>
      <c r="G607" s="14" t="s">
        <v>19</v>
      </c>
      <c r="H607" s="13">
        <v>263000</v>
      </c>
      <c r="I607" s="13">
        <v>0</v>
      </c>
      <c r="J607" s="12" t="s">
        <v>254</v>
      </c>
      <c r="K607" s="28" t="s">
        <v>263</v>
      </c>
    </row>
    <row r="608" spans="3:11" ht="15.5" thickTop="1" thickBot="1" x14ac:dyDescent="0.4">
      <c r="C608" s="26" t="s">
        <v>294</v>
      </c>
      <c r="D608" s="12">
        <v>107116</v>
      </c>
      <c r="E608" s="105" t="str">
        <f>IFERROR(VLOOKUP($D608,NUMDIST[],2,FALSE),"DA Non trouvéé")</f>
        <v>SKT - SARAMBWE TRANSFERT</v>
      </c>
      <c r="F608" s="12" t="s">
        <v>262</v>
      </c>
      <c r="G608" s="14" t="s">
        <v>7</v>
      </c>
      <c r="H608" s="13">
        <v>235000</v>
      </c>
      <c r="I608" s="13">
        <v>0</v>
      </c>
      <c r="J608" s="12" t="s">
        <v>254</v>
      </c>
      <c r="K608" s="28" t="s">
        <v>263</v>
      </c>
    </row>
    <row r="609" spans="3:11" ht="15.5" thickTop="1" thickBot="1" x14ac:dyDescent="0.4">
      <c r="C609" s="26" t="s">
        <v>294</v>
      </c>
      <c r="D609" s="12">
        <v>95820</v>
      </c>
      <c r="E609" s="105" t="str">
        <f>IFERROR(VLOOKUP($D609,NUMDIST[],2,FALSE),"DA Non trouvéé")</f>
        <v>MONGWALU - MAISON INTEMPORELLE</v>
      </c>
      <c r="F609" s="12" t="s">
        <v>262</v>
      </c>
      <c r="G609" s="14" t="s">
        <v>4</v>
      </c>
      <c r="H609" s="13">
        <v>503000</v>
      </c>
      <c r="I609" s="13">
        <v>0</v>
      </c>
      <c r="J609" s="12" t="s">
        <v>254</v>
      </c>
      <c r="K609" s="28" t="s">
        <v>263</v>
      </c>
    </row>
    <row r="610" spans="3:11" ht="15.5" thickTop="1" thickBot="1" x14ac:dyDescent="0.4">
      <c r="C610" s="26" t="s">
        <v>294</v>
      </c>
      <c r="D610" s="12">
        <v>42153</v>
      </c>
      <c r="E610" s="105" t="str">
        <f>IFERROR(VLOOKUP($D610,NUMDIST[],2,FALSE),"DA Non trouvéé")</f>
        <v>BUNIA - ETS SALEM</v>
      </c>
      <c r="F610" s="12" t="s">
        <v>262</v>
      </c>
      <c r="G610" s="14" t="s">
        <v>5</v>
      </c>
      <c r="H610" s="13">
        <v>470000</v>
      </c>
      <c r="I610" s="13">
        <v>0</v>
      </c>
      <c r="J610" s="12" t="s">
        <v>254</v>
      </c>
      <c r="K610" s="28" t="s">
        <v>263</v>
      </c>
    </row>
    <row r="611" spans="3:11" ht="15.5" thickTop="1" thickBot="1" x14ac:dyDescent="0.4">
      <c r="C611" s="26" t="s">
        <v>294</v>
      </c>
      <c r="D611" s="12">
        <v>36433</v>
      </c>
      <c r="E611" s="105" t="str">
        <f>IFERROR(VLOOKUP($D611,NUMDIST[],2,FALSE),"DA Non trouvéé")</f>
        <v>BUNIA - CHEZ JUSTIN</v>
      </c>
      <c r="F611" s="12" t="s">
        <v>262</v>
      </c>
      <c r="G611" s="14" t="s">
        <v>7</v>
      </c>
      <c r="H611" s="13">
        <v>1175000</v>
      </c>
      <c r="I611" s="13">
        <v>0</v>
      </c>
      <c r="J611" s="12" t="s">
        <v>254</v>
      </c>
      <c r="K611" s="28" t="s">
        <v>263</v>
      </c>
    </row>
    <row r="612" spans="3:11" ht="15.5" thickTop="1" thickBot="1" x14ac:dyDescent="0.4">
      <c r="C612" s="26" t="s">
        <v>294</v>
      </c>
      <c r="D612" s="12">
        <v>55351</v>
      </c>
      <c r="E612" s="105" t="str">
        <f>IFERROR(VLOOKUP($D612,NUMDIST[],2,FALSE),"DA Non trouvéé")</f>
        <v>ITURI - PARADOXE BUSINESS</v>
      </c>
      <c r="F612" s="12" t="s">
        <v>262</v>
      </c>
      <c r="G612" s="14" t="s">
        <v>8</v>
      </c>
      <c r="H612" s="13">
        <v>470000</v>
      </c>
      <c r="I612" s="13">
        <v>0</v>
      </c>
      <c r="J612" s="12" t="s">
        <v>254</v>
      </c>
      <c r="K612" s="28" t="s">
        <v>263</v>
      </c>
    </row>
    <row r="613" spans="3:11" ht="15.5" thickTop="1" thickBot="1" x14ac:dyDescent="0.4">
      <c r="C613" s="26" t="s">
        <v>295</v>
      </c>
      <c r="D613" s="12">
        <v>59057</v>
      </c>
      <c r="E613" s="105" t="str">
        <f>IFERROR(VLOOKUP($D613,NUMDIST[],2,FALSE),"DA Non trouvéé")</f>
        <v>ITURI - ETS BJSE</v>
      </c>
      <c r="F613" s="12" t="s">
        <v>262</v>
      </c>
      <c r="G613" s="14" t="s">
        <v>19</v>
      </c>
      <c r="H613" s="13">
        <v>940000</v>
      </c>
      <c r="I613" s="13">
        <v>0</v>
      </c>
      <c r="J613" s="12" t="s">
        <v>254</v>
      </c>
      <c r="K613" s="28" t="s">
        <v>263</v>
      </c>
    </row>
    <row r="614" spans="3:11" ht="15.5" thickTop="1" thickBot="1" x14ac:dyDescent="0.4">
      <c r="C614" s="26" t="s">
        <v>295</v>
      </c>
      <c r="D614" s="12">
        <v>33056</v>
      </c>
      <c r="E614" s="105" t="str">
        <f>IFERROR(VLOOKUP($D614,NUMDIST[],2,FALSE),"DA Non trouvéé")</f>
        <v>KIVU - GRACIA SERVICE</v>
      </c>
      <c r="F614" s="12" t="s">
        <v>262</v>
      </c>
      <c r="G614" s="14" t="s">
        <v>5</v>
      </c>
      <c r="H614" s="13">
        <v>235000</v>
      </c>
      <c r="I614" s="13">
        <v>0</v>
      </c>
      <c r="J614" s="12" t="s">
        <v>254</v>
      </c>
      <c r="K614" s="28" t="s">
        <v>263</v>
      </c>
    </row>
    <row r="615" spans="3:11" ht="15.5" thickTop="1" thickBot="1" x14ac:dyDescent="0.4">
      <c r="C615" s="26" t="s">
        <v>295</v>
      </c>
      <c r="D615" s="12">
        <v>99337</v>
      </c>
      <c r="E615" s="105" t="str">
        <f>IFERROR(VLOOKUP($D615,NUMDIST[],2,FALSE),"DA Non trouvéé")</f>
        <v>ISIRO - SHOP CHARA HOUSE</v>
      </c>
      <c r="F615" s="12" t="s">
        <v>262</v>
      </c>
      <c r="G615" s="14" t="s">
        <v>8</v>
      </c>
      <c r="H615" s="13">
        <v>2000000</v>
      </c>
      <c r="I615" s="13">
        <v>0</v>
      </c>
      <c r="J615" s="12" t="s">
        <v>254</v>
      </c>
      <c r="K615" s="28" t="s">
        <v>263</v>
      </c>
    </row>
    <row r="616" spans="3:11" ht="15.5" thickTop="1" thickBot="1" x14ac:dyDescent="0.4">
      <c r="C616" s="26" t="s">
        <v>295</v>
      </c>
      <c r="D616" s="12">
        <v>90192</v>
      </c>
      <c r="E616" s="105" t="str">
        <f>IFERROR(VLOOKUP($D616,NUMDIST[],2,FALSE),"DA Non trouvéé")</f>
        <v>BUKAVU - ETS LA GLOIRE</v>
      </c>
      <c r="F616" s="12" t="s">
        <v>262</v>
      </c>
      <c r="G616" s="14" t="s">
        <v>5</v>
      </c>
      <c r="H616" s="13">
        <v>470000</v>
      </c>
      <c r="I616" s="13">
        <v>0</v>
      </c>
      <c r="J616" s="12" t="s">
        <v>254</v>
      </c>
      <c r="K616" s="28" t="s">
        <v>263</v>
      </c>
    </row>
    <row r="617" spans="3:11" ht="15.5" thickTop="1" thickBot="1" x14ac:dyDescent="0.4">
      <c r="C617" s="26" t="s">
        <v>295</v>
      </c>
      <c r="D617" s="12">
        <v>36112</v>
      </c>
      <c r="E617" s="105" t="str">
        <f>IFERROR(VLOOKUP($D617,NUMDIST[],2,FALSE),"DA Non trouvéé")</f>
        <v>SUD KIVU - ETS AGRIPPINE</v>
      </c>
      <c r="F617" s="12" t="s">
        <v>262</v>
      </c>
      <c r="G617" s="14" t="s">
        <v>4</v>
      </c>
      <c r="H617" s="13">
        <v>200000</v>
      </c>
      <c r="I617" s="13">
        <v>0</v>
      </c>
      <c r="J617" s="12" t="s">
        <v>254</v>
      </c>
      <c r="K617" s="28" t="s">
        <v>263</v>
      </c>
    </row>
    <row r="618" spans="3:11" ht="15.5" thickTop="1" thickBot="1" x14ac:dyDescent="0.4">
      <c r="C618" s="26" t="s">
        <v>295</v>
      </c>
      <c r="D618" s="12">
        <v>90174</v>
      </c>
      <c r="E618" s="105" t="str">
        <f>IFERROR(VLOOKUP($D618,NUMDIST[],2,FALSE),"DA Non trouvéé")</f>
        <v>MAHAGI - ETS JACQUES PLUS</v>
      </c>
      <c r="F618" s="12" t="s">
        <v>262</v>
      </c>
      <c r="G618" s="14" t="s">
        <v>4</v>
      </c>
      <c r="H618" s="13">
        <v>250000</v>
      </c>
      <c r="I618" s="13">
        <v>0</v>
      </c>
      <c r="J618" s="12" t="s">
        <v>254</v>
      </c>
      <c r="K618" s="28" t="s">
        <v>263</v>
      </c>
    </row>
    <row r="619" spans="3:11" ht="15.5" thickTop="1" thickBot="1" x14ac:dyDescent="0.4">
      <c r="C619" s="26" t="s">
        <v>295</v>
      </c>
      <c r="D619" s="12">
        <v>36430</v>
      </c>
      <c r="E619" s="105" t="str">
        <f>IFERROR(VLOOKUP($D619,NUMDIST[],2,FALSE),"DA Non trouvéé")</f>
        <v>Bunia - ETS BOTOAFINE</v>
      </c>
      <c r="F619" s="12" t="s">
        <v>262</v>
      </c>
      <c r="G619" s="14" t="s">
        <v>4</v>
      </c>
      <c r="H619" s="13">
        <v>94000</v>
      </c>
      <c r="I619" s="13">
        <v>0</v>
      </c>
      <c r="J619" s="12" t="s">
        <v>254</v>
      </c>
      <c r="K619" s="28" t="s">
        <v>263</v>
      </c>
    </row>
    <row r="620" spans="3:11" ht="15.5" thickTop="1" thickBot="1" x14ac:dyDescent="0.4">
      <c r="C620" s="26" t="s">
        <v>295</v>
      </c>
      <c r="D620" s="12">
        <v>42152</v>
      </c>
      <c r="E620" s="105" t="str">
        <f>IFERROR(VLOOKUP($D620,NUMDIST[],2,FALSE),"DA Non trouvéé")</f>
        <v>Bunia - Ets SKY</v>
      </c>
      <c r="F620" s="12" t="s">
        <v>262</v>
      </c>
      <c r="G620" s="14" t="s">
        <v>4</v>
      </c>
      <c r="H620" s="13">
        <v>587500</v>
      </c>
      <c r="I620" s="13">
        <v>0</v>
      </c>
      <c r="J620" s="12" t="s">
        <v>254</v>
      </c>
      <c r="K620" s="28" t="s">
        <v>263</v>
      </c>
    </row>
    <row r="621" spans="3:11" ht="15.5" thickTop="1" thickBot="1" x14ac:dyDescent="0.4">
      <c r="C621" s="26" t="s">
        <v>295</v>
      </c>
      <c r="D621" s="12">
        <v>79743</v>
      </c>
      <c r="E621" s="105" t="str">
        <f>IFERROR(VLOOKUP($D621,NUMDIST[],2,FALSE),"DA Non trouvéé")</f>
        <v>KASINDI - SHOP ROLKO</v>
      </c>
      <c r="F621" s="12" t="s">
        <v>262</v>
      </c>
      <c r="G621" s="14" t="s">
        <v>5</v>
      </c>
      <c r="H621" s="13">
        <v>235000</v>
      </c>
      <c r="I621" s="13">
        <v>0</v>
      </c>
      <c r="J621" s="12" t="s">
        <v>254</v>
      </c>
      <c r="K621" s="28" t="s">
        <v>263</v>
      </c>
    </row>
    <row r="622" spans="3:11" ht="15.5" thickTop="1" thickBot="1" x14ac:dyDescent="0.4">
      <c r="C622" s="26" t="s">
        <v>295</v>
      </c>
      <c r="D622" s="12">
        <v>85189</v>
      </c>
      <c r="E622" s="105" t="str">
        <f>IFERROR(VLOOKUP($D622,NUMDIST[],2,FALSE),"DA Non trouvéé")</f>
        <v>GOMA - CHEZ ZEPHERIN</v>
      </c>
      <c r="F622" s="12" t="s">
        <v>262</v>
      </c>
      <c r="G622" s="14" t="s">
        <v>5</v>
      </c>
      <c r="H622" s="13">
        <v>235000</v>
      </c>
      <c r="I622" s="13">
        <v>0</v>
      </c>
      <c r="J622" s="12" t="s">
        <v>254</v>
      </c>
      <c r="K622" s="28" t="s">
        <v>263</v>
      </c>
    </row>
    <row r="623" spans="3:11" ht="15.5" thickTop="1" thickBot="1" x14ac:dyDescent="0.4">
      <c r="C623" s="26" t="s">
        <v>295</v>
      </c>
      <c r="D623" s="12">
        <v>55351</v>
      </c>
      <c r="E623" s="105" t="str">
        <f>IFERROR(VLOOKUP($D623,NUMDIST[],2,FALSE),"DA Non trouvéé")</f>
        <v>ITURI - PARADOXE BUSINESS</v>
      </c>
      <c r="F623" s="12" t="s">
        <v>262</v>
      </c>
      <c r="G623" s="14" t="s">
        <v>7</v>
      </c>
      <c r="H623" s="13">
        <v>470000</v>
      </c>
      <c r="I623" s="13">
        <v>0</v>
      </c>
      <c r="J623" s="12" t="s">
        <v>254</v>
      </c>
      <c r="K623" s="28" t="s">
        <v>263</v>
      </c>
    </row>
    <row r="624" spans="3:11" ht="15.5" thickTop="1" thickBot="1" x14ac:dyDescent="0.4">
      <c r="C624" s="26" t="s">
        <v>295</v>
      </c>
      <c r="D624" s="12">
        <v>95818</v>
      </c>
      <c r="E624" s="105" t="str">
        <f>IFERROR(VLOOKUP($D624,NUMDIST[],2,FALSE),"DA Non trouvéé")</f>
        <v>BUNIA - SHOP BLESSING</v>
      </c>
      <c r="F624" s="12" t="s">
        <v>262</v>
      </c>
      <c r="G624" s="14" t="s">
        <v>19</v>
      </c>
      <c r="H624" s="13">
        <v>235000</v>
      </c>
      <c r="I624" s="13">
        <v>0</v>
      </c>
      <c r="J624" s="12" t="s">
        <v>254</v>
      </c>
      <c r="K624" s="28" t="s">
        <v>263</v>
      </c>
    </row>
    <row r="625" spans="3:11" ht="15.5" thickTop="1" thickBot="1" x14ac:dyDescent="0.4">
      <c r="C625" s="26" t="s">
        <v>295</v>
      </c>
      <c r="D625" s="12">
        <v>87503</v>
      </c>
      <c r="E625" s="105" t="str">
        <f>IFERROR(VLOOKUP($D625,NUMDIST[],2,FALSE),"DA Non trouvéé")</f>
        <v>BUKAVU - ETS DIEU EST GRAND</v>
      </c>
      <c r="F625" s="12" t="s">
        <v>262</v>
      </c>
      <c r="G625" s="14" t="s">
        <v>5</v>
      </c>
      <c r="H625" s="13">
        <v>290000</v>
      </c>
      <c r="I625" s="13">
        <v>0</v>
      </c>
      <c r="J625" s="12" t="s">
        <v>254</v>
      </c>
      <c r="K625" s="28" t="s">
        <v>263</v>
      </c>
    </row>
    <row r="626" spans="3:11" ht="15.5" thickTop="1" thickBot="1" x14ac:dyDescent="0.4">
      <c r="C626" s="26" t="s">
        <v>295</v>
      </c>
      <c r="D626" s="12">
        <v>71090</v>
      </c>
      <c r="E626" s="105" t="str">
        <f>IFERROR(VLOOKUP($D626,NUMDIST[],2,FALSE),"DA Non trouvéé")</f>
        <v>SHOP JULUX</v>
      </c>
      <c r="F626" s="12" t="s">
        <v>262</v>
      </c>
      <c r="G626" s="14" t="s">
        <v>6</v>
      </c>
      <c r="H626" s="13">
        <v>2350000</v>
      </c>
      <c r="I626" s="13">
        <v>0</v>
      </c>
      <c r="J626" s="12" t="s">
        <v>15</v>
      </c>
      <c r="K626" s="28" t="s">
        <v>263</v>
      </c>
    </row>
    <row r="627" spans="3:11" ht="15.5" thickTop="1" thickBot="1" x14ac:dyDescent="0.4">
      <c r="C627" s="26" t="s">
        <v>295</v>
      </c>
      <c r="D627" s="12">
        <v>90152</v>
      </c>
      <c r="E627" s="105" t="str">
        <f>IFERROR(VLOOKUP($D627,NUMDIST[],2,FALSE),"DA Non trouvéé")</f>
        <v>BUTEMBO - ETS OIEL DU CIEL</v>
      </c>
      <c r="F627" s="12" t="s">
        <v>262</v>
      </c>
      <c r="G627" s="14" t="s">
        <v>5</v>
      </c>
      <c r="H627" s="13">
        <v>705000</v>
      </c>
      <c r="I627" s="13">
        <v>0</v>
      </c>
      <c r="J627" s="12" t="s">
        <v>254</v>
      </c>
      <c r="K627" s="28" t="s">
        <v>263</v>
      </c>
    </row>
    <row r="628" spans="3:11" ht="15.5" thickTop="1" thickBot="1" x14ac:dyDescent="0.4">
      <c r="C628" s="26" t="s">
        <v>295</v>
      </c>
      <c r="D628" s="12">
        <v>91380</v>
      </c>
      <c r="E628" s="105" t="str">
        <f>IFERROR(VLOOKUP($D628,NUMDIST[],2,FALSE),"DA Non trouvéé")</f>
        <v>GOMA - MUNZOMBO MATEMBELA</v>
      </c>
      <c r="F628" s="12" t="s">
        <v>262</v>
      </c>
      <c r="G628" s="14" t="s">
        <v>5</v>
      </c>
      <c r="H628" s="13">
        <v>800000</v>
      </c>
      <c r="I628" s="13">
        <v>0</v>
      </c>
      <c r="J628" s="12" t="s">
        <v>254</v>
      </c>
      <c r="K628" s="28" t="s">
        <v>263</v>
      </c>
    </row>
    <row r="629" spans="3:11" ht="15.5" thickTop="1" thickBot="1" x14ac:dyDescent="0.4">
      <c r="C629" s="26" t="s">
        <v>295</v>
      </c>
      <c r="D629" s="12">
        <v>36710</v>
      </c>
      <c r="E629" s="105" t="str">
        <f>IFERROR(VLOOKUP($D629,NUMDIST[],2,FALSE),"DA Non trouvéé")</f>
        <v>BUNIA - BOUTIQUE JPS DM</v>
      </c>
      <c r="F629" s="12" t="s">
        <v>262</v>
      </c>
      <c r="G629" s="14" t="s">
        <v>19</v>
      </c>
      <c r="H629" s="13">
        <v>2000000</v>
      </c>
      <c r="I629" s="13">
        <v>0</v>
      </c>
      <c r="J629" s="12" t="s">
        <v>254</v>
      </c>
      <c r="K629" s="28" t="s">
        <v>263</v>
      </c>
    </row>
    <row r="630" spans="3:11" ht="15.5" thickTop="1" thickBot="1" x14ac:dyDescent="0.4">
      <c r="C630" s="26" t="s">
        <v>295</v>
      </c>
      <c r="D630" s="12">
        <v>36430</v>
      </c>
      <c r="E630" s="105" t="str">
        <f>IFERROR(VLOOKUP($D630,NUMDIST[],2,FALSE),"DA Non trouvéé")</f>
        <v>Bunia - ETS BOTOAFINE</v>
      </c>
      <c r="F630" s="12" t="s">
        <v>262</v>
      </c>
      <c r="G630" s="14" t="s">
        <v>4</v>
      </c>
      <c r="H630" s="13">
        <v>117500</v>
      </c>
      <c r="I630" s="13">
        <v>0</v>
      </c>
      <c r="J630" s="12" t="s">
        <v>254</v>
      </c>
      <c r="K630" s="28" t="s">
        <v>263</v>
      </c>
    </row>
    <row r="631" spans="3:11" ht="15.5" thickTop="1" thickBot="1" x14ac:dyDescent="0.4">
      <c r="C631" s="26" t="s">
        <v>295</v>
      </c>
      <c r="D631" s="12">
        <v>95823</v>
      </c>
      <c r="E631" s="105" t="str">
        <f>IFERROR(VLOOKUP($D631,NUMDIST[],2,FALSE),"DA Non trouvéé")</f>
        <v>BUNIA - ETS CANAL BIA</v>
      </c>
      <c r="F631" s="12" t="s">
        <v>262</v>
      </c>
      <c r="G631" s="14" t="s">
        <v>19</v>
      </c>
      <c r="H631" s="13">
        <v>470000</v>
      </c>
      <c r="I631" s="13">
        <v>0</v>
      </c>
      <c r="J631" s="12" t="s">
        <v>254</v>
      </c>
      <c r="K631" s="28" t="s">
        <v>263</v>
      </c>
    </row>
    <row r="632" spans="3:11" ht="15.5" thickTop="1" thickBot="1" x14ac:dyDescent="0.4">
      <c r="C632" s="26" t="s">
        <v>295</v>
      </c>
      <c r="D632" s="81">
        <v>104789</v>
      </c>
      <c r="E632" s="105" t="str">
        <f>IFERROR(VLOOKUP($D632,NUMDIST[],2,FALSE),"DA Non trouvéé")</f>
        <v>WATHSA - SHOP SALEM</v>
      </c>
      <c r="F632" s="12" t="s">
        <v>262</v>
      </c>
      <c r="G632" s="14" t="s">
        <v>8</v>
      </c>
      <c r="H632" s="13">
        <v>420000</v>
      </c>
      <c r="I632" s="13">
        <v>0</v>
      </c>
      <c r="J632" s="12" t="s">
        <v>254</v>
      </c>
      <c r="K632" s="28" t="s">
        <v>263</v>
      </c>
    </row>
    <row r="633" spans="3:11" ht="15.5" thickTop="1" thickBot="1" x14ac:dyDescent="0.4">
      <c r="C633" s="26" t="s">
        <v>295</v>
      </c>
      <c r="D633" s="81">
        <v>104789</v>
      </c>
      <c r="E633" s="105" t="str">
        <f>IFERROR(VLOOKUP($D633,NUMDIST[],2,FALSE),"DA Non trouvéé")</f>
        <v>WATHSA - SHOP SALEM</v>
      </c>
      <c r="F633" s="12" t="s">
        <v>262</v>
      </c>
      <c r="G633" s="14" t="s">
        <v>8</v>
      </c>
      <c r="H633" s="13">
        <v>235000</v>
      </c>
      <c r="I633" s="13">
        <v>0</v>
      </c>
      <c r="J633" s="12" t="s">
        <v>254</v>
      </c>
      <c r="K633" s="28" t="s">
        <v>263</v>
      </c>
    </row>
    <row r="634" spans="3:11" ht="15.5" thickTop="1" thickBot="1" x14ac:dyDescent="0.4">
      <c r="C634" s="26" t="s">
        <v>295</v>
      </c>
      <c r="D634" s="12">
        <v>90176</v>
      </c>
      <c r="E634" s="105" t="str">
        <f>IFERROR(VLOOKUP($D634,NUMDIST[],2,FALSE),"DA Non trouvéé")</f>
        <v>BUNIA - SHOP MATATA</v>
      </c>
      <c r="F634" s="12" t="s">
        <v>262</v>
      </c>
      <c r="G634" s="14" t="s">
        <v>7</v>
      </c>
      <c r="H634" s="13">
        <v>470000</v>
      </c>
      <c r="I634" s="13">
        <v>0</v>
      </c>
      <c r="J634" s="12" t="s">
        <v>254</v>
      </c>
      <c r="K634" s="28" t="s">
        <v>263</v>
      </c>
    </row>
    <row r="635" spans="3:11" ht="15.5" thickTop="1" thickBot="1" x14ac:dyDescent="0.4">
      <c r="C635" s="26" t="s">
        <v>295</v>
      </c>
      <c r="D635" s="12">
        <v>87013</v>
      </c>
      <c r="E635" s="105" t="str">
        <f>IFERROR(VLOOKUP($D635,NUMDIST[],2,FALSE),"DA Non trouvéé")</f>
        <v>BUNIA - JC SANS TACHES</v>
      </c>
      <c r="F635" s="12" t="s">
        <v>262</v>
      </c>
      <c r="G635" s="14" t="s">
        <v>4</v>
      </c>
      <c r="H635" s="13">
        <v>470000</v>
      </c>
      <c r="I635" s="13">
        <v>0</v>
      </c>
      <c r="J635" s="12" t="s">
        <v>254</v>
      </c>
      <c r="K635" s="28" t="s">
        <v>263</v>
      </c>
    </row>
    <row r="636" spans="3:11" ht="15.5" thickTop="1" thickBot="1" x14ac:dyDescent="0.4">
      <c r="C636" s="26" t="s">
        <v>295</v>
      </c>
      <c r="D636" s="12">
        <v>90164</v>
      </c>
      <c r="E636" s="105" t="str">
        <f>IFERROR(VLOOKUP($D636,NUMDIST[],2,FALSE),"DA Non trouvéé")</f>
        <v>BUNIA - ALPHA SHOP</v>
      </c>
      <c r="F636" s="12" t="s">
        <v>262</v>
      </c>
      <c r="G636" s="14" t="s">
        <v>4</v>
      </c>
      <c r="H636" s="13">
        <v>470000</v>
      </c>
      <c r="I636" s="13">
        <v>0</v>
      </c>
      <c r="J636" s="12" t="s">
        <v>254</v>
      </c>
      <c r="K636" s="28" t="s">
        <v>263</v>
      </c>
    </row>
    <row r="637" spans="3:11" ht="15.5" thickTop="1" thickBot="1" x14ac:dyDescent="0.4">
      <c r="C637" s="26" t="s">
        <v>295</v>
      </c>
      <c r="D637" s="12">
        <v>34597</v>
      </c>
      <c r="E637" s="105" t="str">
        <f>IFERROR(VLOOKUP($D637,NUMDIST[],2,FALSE),"DA Non trouvéé")</f>
        <v>ETABLISSEMENT-  JPS DM BIGO</v>
      </c>
      <c r="F637" s="12" t="s">
        <v>262</v>
      </c>
      <c r="G637" s="14" t="s">
        <v>7</v>
      </c>
      <c r="H637" s="13">
        <v>1000000</v>
      </c>
      <c r="I637" s="13">
        <v>0</v>
      </c>
      <c r="J637" s="12" t="s">
        <v>254</v>
      </c>
      <c r="K637" s="28" t="s">
        <v>263</v>
      </c>
    </row>
    <row r="638" spans="3:11" ht="15.5" thickTop="1" thickBot="1" x14ac:dyDescent="0.4">
      <c r="C638" s="26" t="s">
        <v>295</v>
      </c>
      <c r="D638" s="12">
        <v>90134</v>
      </c>
      <c r="E638" s="105" t="str">
        <f>IFERROR(VLOOKUP($D638,NUMDIST[],2,FALSE),"DA Non trouvéé")</f>
        <v>KISANGANI - ETS SOLUTION PLUS</v>
      </c>
      <c r="F638" s="12" t="s">
        <v>262</v>
      </c>
      <c r="G638" s="14" t="s">
        <v>4</v>
      </c>
      <c r="H638" s="13">
        <v>550000</v>
      </c>
      <c r="I638" s="13">
        <v>0</v>
      </c>
      <c r="J638" s="12" t="s">
        <v>254</v>
      </c>
      <c r="K638" s="28" t="s">
        <v>263</v>
      </c>
    </row>
    <row r="639" spans="3:11" ht="15.5" thickTop="1" thickBot="1" x14ac:dyDescent="0.4">
      <c r="C639" s="26" t="s">
        <v>295</v>
      </c>
      <c r="D639" s="12">
        <v>55350</v>
      </c>
      <c r="E639" s="105" t="str">
        <f>IFERROR(VLOOKUP($D639,NUMDIST[],2,FALSE),"DA Non trouvéé")</f>
        <v>OICHA - CLINIQUE ORDINATEURS</v>
      </c>
      <c r="F639" s="12" t="s">
        <v>262</v>
      </c>
      <c r="G639" s="14" t="s">
        <v>5</v>
      </c>
      <c r="H639" s="13">
        <v>340750</v>
      </c>
      <c r="I639" s="13">
        <v>0</v>
      </c>
      <c r="J639" s="12" t="s">
        <v>254</v>
      </c>
      <c r="K639" s="28" t="s">
        <v>263</v>
      </c>
    </row>
    <row r="640" spans="3:11" ht="15.5" thickTop="1" thickBot="1" x14ac:dyDescent="0.4">
      <c r="C640" s="26" t="s">
        <v>295</v>
      </c>
      <c r="D640" s="12">
        <v>95823</v>
      </c>
      <c r="E640" s="105" t="str">
        <f>IFERROR(VLOOKUP($D640,NUMDIST[],2,FALSE),"DA Non trouvéé")</f>
        <v>BUNIA - ETS CANAL BIA</v>
      </c>
      <c r="F640" s="12" t="s">
        <v>262</v>
      </c>
      <c r="G640" s="14" t="s">
        <v>4</v>
      </c>
      <c r="H640" s="13">
        <v>135000</v>
      </c>
      <c r="I640" s="13">
        <v>0</v>
      </c>
      <c r="J640" s="12" t="s">
        <v>254</v>
      </c>
      <c r="K640" s="28" t="s">
        <v>263</v>
      </c>
    </row>
    <row r="641" spans="3:11" ht="15.5" thickTop="1" thickBot="1" x14ac:dyDescent="0.4">
      <c r="C641" s="26" t="s">
        <v>295</v>
      </c>
      <c r="D641" s="12">
        <v>85186</v>
      </c>
      <c r="E641" s="105" t="str">
        <f>IFERROR(VLOOKUP($D641,NUMDIST[],2,FALSE),"DA Non trouvéé")</f>
        <v>BUNIA - PKANDROMA SHOP SAMS</v>
      </c>
      <c r="F641" s="12" t="s">
        <v>262</v>
      </c>
      <c r="G641" s="14" t="s">
        <v>19</v>
      </c>
      <c r="H641" s="13">
        <v>235000</v>
      </c>
      <c r="I641" s="13">
        <v>0</v>
      </c>
      <c r="J641" s="12" t="s">
        <v>254</v>
      </c>
      <c r="K641" s="28" t="s">
        <v>263</v>
      </c>
    </row>
    <row r="642" spans="3:11" ht="15.5" thickTop="1" thickBot="1" x14ac:dyDescent="0.4">
      <c r="C642" s="26" t="s">
        <v>295</v>
      </c>
      <c r="D642" s="12">
        <v>102554</v>
      </c>
      <c r="E642" s="105" t="str">
        <f>IFERROR(VLOOKUP($D642,NUMDIST[],2,FALSE),"DA Non trouvéé")</f>
        <v>KANYASI - ZITONO SHOP</v>
      </c>
      <c r="F642" s="12" t="s">
        <v>262</v>
      </c>
      <c r="G642" s="14" t="s">
        <v>5</v>
      </c>
      <c r="H642" s="13">
        <v>94000</v>
      </c>
      <c r="I642" s="13">
        <v>0</v>
      </c>
      <c r="J642" s="12" t="s">
        <v>254</v>
      </c>
      <c r="K642" s="28" t="s">
        <v>263</v>
      </c>
    </row>
    <row r="643" spans="3:11" ht="15.5" thickTop="1" thickBot="1" x14ac:dyDescent="0.4">
      <c r="C643" s="26" t="s">
        <v>295</v>
      </c>
      <c r="D643" s="12">
        <v>42152</v>
      </c>
      <c r="E643" s="105" t="str">
        <f>IFERROR(VLOOKUP($D643,NUMDIST[],2,FALSE),"DA Non trouvéé")</f>
        <v>Bunia - Ets SKY</v>
      </c>
      <c r="F643" s="12" t="s">
        <v>262</v>
      </c>
      <c r="G643" s="14" t="s">
        <v>4</v>
      </c>
      <c r="H643" s="13">
        <v>822500</v>
      </c>
      <c r="I643" s="13">
        <v>0</v>
      </c>
      <c r="J643" s="12" t="s">
        <v>254</v>
      </c>
      <c r="K643" s="28" t="s">
        <v>263</v>
      </c>
    </row>
    <row r="644" spans="3:11" ht="15.5" thickTop="1" thickBot="1" x14ac:dyDescent="0.4">
      <c r="C644" s="26" t="s">
        <v>295</v>
      </c>
      <c r="D644" s="12">
        <v>97318</v>
      </c>
      <c r="E644" s="105" t="str">
        <f>IFERROR(VLOOKUP($D644,NUMDIST[],2,FALSE),"DA Non trouvéé")</f>
        <v>BUNIA - ESTHEBI SHOP</v>
      </c>
      <c r="F644" s="12" t="s">
        <v>262</v>
      </c>
      <c r="G644" s="14" t="s">
        <v>4</v>
      </c>
      <c r="H644" s="13">
        <v>460000</v>
      </c>
      <c r="I644" s="13">
        <v>0</v>
      </c>
      <c r="J644" s="12" t="s">
        <v>254</v>
      </c>
      <c r="K644" s="28" t="s">
        <v>263</v>
      </c>
    </row>
    <row r="645" spans="3:11" ht="15.5" thickTop="1" thickBot="1" x14ac:dyDescent="0.4">
      <c r="C645" s="26" t="s">
        <v>295</v>
      </c>
      <c r="D645" s="12">
        <v>41317</v>
      </c>
      <c r="E645" s="105" t="str">
        <f>IFERROR(VLOOKUP($D645,NUMDIST[],2,FALSE),"DA Non trouvéé")</f>
        <v>Bukavu - Ets JPS DM BUKAVU</v>
      </c>
      <c r="F645" s="12" t="s">
        <v>262</v>
      </c>
      <c r="G645" s="14" t="s">
        <v>5</v>
      </c>
      <c r="H645" s="13">
        <v>345450</v>
      </c>
      <c r="I645" s="13">
        <v>0</v>
      </c>
      <c r="J645" s="12" t="s">
        <v>254</v>
      </c>
      <c r="K645" s="28" t="s">
        <v>263</v>
      </c>
    </row>
    <row r="646" spans="3:11" ht="15.5" thickTop="1" thickBot="1" x14ac:dyDescent="0.4">
      <c r="C646" s="26" t="s">
        <v>295</v>
      </c>
      <c r="D646" s="12">
        <v>85827</v>
      </c>
      <c r="E646" s="105" t="str">
        <f>IFERROR(VLOOKUP($D646,NUMDIST[],2,FALSE),"DA Non trouvéé")</f>
        <v>KISANGANI - SHOP LA GRACE</v>
      </c>
      <c r="F646" s="12" t="s">
        <v>262</v>
      </c>
      <c r="G646" s="14" t="s">
        <v>5</v>
      </c>
      <c r="H646" s="13">
        <v>1057500</v>
      </c>
      <c r="I646" s="13">
        <v>0</v>
      </c>
      <c r="J646" s="12" t="s">
        <v>254</v>
      </c>
      <c r="K646" s="28" t="s">
        <v>263</v>
      </c>
    </row>
    <row r="647" spans="3:11" ht="15.5" thickTop="1" thickBot="1" x14ac:dyDescent="0.4">
      <c r="C647" s="26" t="s">
        <v>295</v>
      </c>
      <c r="D647" s="12">
        <v>59057</v>
      </c>
      <c r="E647" s="105" t="str">
        <f>IFERROR(VLOOKUP($D647,NUMDIST[],2,FALSE),"DA Non trouvéé")</f>
        <v>ITURI - ETS BJSE</v>
      </c>
      <c r="F647" s="12" t="s">
        <v>262</v>
      </c>
      <c r="G647" s="14" t="s">
        <v>19</v>
      </c>
      <c r="H647" s="13">
        <v>1880000</v>
      </c>
      <c r="I647" s="13">
        <v>0</v>
      </c>
      <c r="J647" s="12" t="s">
        <v>254</v>
      </c>
      <c r="K647" s="28" t="s">
        <v>263</v>
      </c>
    </row>
    <row r="648" spans="3:11" ht="15.5" thickTop="1" thickBot="1" x14ac:dyDescent="0.4">
      <c r="C648" s="26" t="s">
        <v>295</v>
      </c>
      <c r="D648" s="12">
        <v>103980</v>
      </c>
      <c r="E648" s="105" t="str">
        <f>IFERROR(VLOOKUP($D648,NUMDIST[],2,FALSE),"DA Non trouvéé")</f>
        <v>ETABLISSEMENT GABRIELLA</v>
      </c>
      <c r="F648" s="12" t="s">
        <v>262</v>
      </c>
      <c r="G648" s="14" t="s">
        <v>7</v>
      </c>
      <c r="H648" s="13">
        <v>229000</v>
      </c>
      <c r="I648" s="13">
        <v>0</v>
      </c>
      <c r="J648" s="12" t="s">
        <v>254</v>
      </c>
      <c r="K648" s="28" t="s">
        <v>263</v>
      </c>
    </row>
    <row r="649" spans="3:11" ht="15.5" thickTop="1" thickBot="1" x14ac:dyDescent="0.4">
      <c r="C649" s="26" t="s">
        <v>295</v>
      </c>
      <c r="D649" s="12">
        <v>90174</v>
      </c>
      <c r="E649" s="105" t="str">
        <f>IFERROR(VLOOKUP($D649,NUMDIST[],2,FALSE),"DA Non trouvéé")</f>
        <v>MAHAGI - ETS JACQUES PLUS</v>
      </c>
      <c r="F649" s="12" t="s">
        <v>262</v>
      </c>
      <c r="G649" s="14" t="s">
        <v>4</v>
      </c>
      <c r="H649" s="13">
        <v>400000</v>
      </c>
      <c r="I649" s="13">
        <v>0</v>
      </c>
      <c r="J649" s="12" t="s">
        <v>254</v>
      </c>
      <c r="K649" s="28" t="s">
        <v>263</v>
      </c>
    </row>
    <row r="650" spans="3:11" ht="15.5" thickTop="1" thickBot="1" x14ac:dyDescent="0.4">
      <c r="C650" s="26" t="s">
        <v>295</v>
      </c>
      <c r="D650" s="12">
        <v>55350</v>
      </c>
      <c r="E650" s="105" t="str">
        <f>IFERROR(VLOOKUP($D650,NUMDIST[],2,FALSE),"DA Non trouvéé")</f>
        <v>OICHA - CLINIQUE ORDINATEURS</v>
      </c>
      <c r="F650" s="12" t="s">
        <v>262</v>
      </c>
      <c r="G650" s="14" t="s">
        <v>5</v>
      </c>
      <c r="H650" s="13">
        <v>492000</v>
      </c>
      <c r="I650" s="13">
        <v>0</v>
      </c>
      <c r="J650" s="12" t="s">
        <v>254</v>
      </c>
      <c r="K650" s="28" t="s">
        <v>263</v>
      </c>
    </row>
    <row r="651" spans="3:11" ht="15.5" thickTop="1" thickBot="1" x14ac:dyDescent="0.4">
      <c r="C651" s="26" t="s">
        <v>295</v>
      </c>
      <c r="D651" s="12">
        <v>99337</v>
      </c>
      <c r="E651" s="105" t="str">
        <f>IFERROR(VLOOKUP($D651,NUMDIST[],2,FALSE),"DA Non trouvéé")</f>
        <v>ISIRO - SHOP CHARA HOUSE</v>
      </c>
      <c r="F651" s="12" t="s">
        <v>262</v>
      </c>
      <c r="G651" s="14" t="s">
        <v>8</v>
      </c>
      <c r="H651" s="13">
        <v>2000000</v>
      </c>
      <c r="I651" s="13">
        <v>0</v>
      </c>
      <c r="J651" s="12" t="s">
        <v>254</v>
      </c>
      <c r="K651" s="28" t="s">
        <v>263</v>
      </c>
    </row>
    <row r="652" spans="3:11" ht="15.5" thickTop="1" thickBot="1" x14ac:dyDescent="0.4">
      <c r="C652" s="26">
        <v>46222</v>
      </c>
      <c r="D652" s="12">
        <v>102554</v>
      </c>
      <c r="E652" s="105" t="str">
        <f>IFERROR(VLOOKUP($D652,NUMDIST[],2,FALSE),"DA Non trouvéé")</f>
        <v>KANYASI - ZITONO SHOP</v>
      </c>
      <c r="F652" s="12" t="s">
        <v>262</v>
      </c>
      <c r="G652" s="14" t="s">
        <v>19</v>
      </c>
      <c r="H652" s="13">
        <v>141000</v>
      </c>
      <c r="I652" s="13">
        <v>0</v>
      </c>
      <c r="J652" s="12" t="s">
        <v>254</v>
      </c>
      <c r="K652" s="28" t="s">
        <v>263</v>
      </c>
    </row>
    <row r="653" spans="3:11" ht="15.5" thickTop="1" thickBot="1" x14ac:dyDescent="0.4">
      <c r="C653" s="26">
        <v>46222</v>
      </c>
      <c r="D653" s="12">
        <v>87013</v>
      </c>
      <c r="E653" s="105" t="str">
        <f>IFERROR(VLOOKUP($D653,NUMDIST[],2,FALSE),"DA Non trouvéé")</f>
        <v>BUNIA - JC SANS TACHES</v>
      </c>
      <c r="F653" s="12" t="s">
        <v>262</v>
      </c>
      <c r="G653" s="14" t="s">
        <v>19</v>
      </c>
      <c r="H653" s="13">
        <v>185500</v>
      </c>
      <c r="I653" s="13">
        <v>0</v>
      </c>
      <c r="J653" s="12" t="s">
        <v>254</v>
      </c>
      <c r="K653" s="28" t="s">
        <v>263</v>
      </c>
    </row>
    <row r="654" spans="3:11" ht="15.5" thickTop="1" thickBot="1" x14ac:dyDescent="0.4">
      <c r="C654" s="26">
        <v>46222</v>
      </c>
      <c r="D654" s="12">
        <v>36430</v>
      </c>
      <c r="E654" s="105" t="str">
        <f>IFERROR(VLOOKUP($D654,NUMDIST[],2,FALSE),"DA Non trouvéé")</f>
        <v>Bunia - ETS BOTOAFINE</v>
      </c>
      <c r="F654" s="12" t="s">
        <v>262</v>
      </c>
      <c r="G654" s="14" t="s">
        <v>19</v>
      </c>
      <c r="H654" s="13">
        <v>164500</v>
      </c>
      <c r="I654" s="13">
        <v>0</v>
      </c>
      <c r="J654" s="12" t="s">
        <v>254</v>
      </c>
      <c r="K654" s="28" t="s">
        <v>263</v>
      </c>
    </row>
    <row r="655" spans="3:11" ht="15.5" thickTop="1" thickBot="1" x14ac:dyDescent="0.4">
      <c r="C655" s="26">
        <v>46222</v>
      </c>
      <c r="D655" s="12">
        <v>95818</v>
      </c>
      <c r="E655" s="105" t="str">
        <f>IFERROR(VLOOKUP($D655,NUMDIST[],2,FALSE),"DA Non trouvéé")</f>
        <v>BUNIA - SHOP BLESSING</v>
      </c>
      <c r="F655" s="12" t="s">
        <v>262</v>
      </c>
      <c r="G655" s="14" t="s">
        <v>19</v>
      </c>
      <c r="H655" s="13">
        <v>70500</v>
      </c>
      <c r="I655" s="13">
        <v>0</v>
      </c>
      <c r="J655" s="12" t="s">
        <v>254</v>
      </c>
      <c r="K655" s="28" t="s">
        <v>263</v>
      </c>
    </row>
    <row r="656" spans="3:11" ht="15.5" thickTop="1" thickBot="1" x14ac:dyDescent="0.4">
      <c r="C656" s="26">
        <v>46222</v>
      </c>
      <c r="D656" s="12">
        <v>95823</v>
      </c>
      <c r="E656" s="105" t="str">
        <f>IFERROR(VLOOKUP($D656,NUMDIST[],2,FALSE),"DA Non trouvéé")</f>
        <v>BUNIA - ETS CANAL BIA</v>
      </c>
      <c r="F656" s="12" t="s">
        <v>262</v>
      </c>
      <c r="G656" s="14" t="s">
        <v>19</v>
      </c>
      <c r="H656" s="13">
        <v>570000</v>
      </c>
      <c r="I656" s="13">
        <v>0</v>
      </c>
      <c r="J656" s="12" t="s">
        <v>254</v>
      </c>
      <c r="K656" s="28" t="s">
        <v>263</v>
      </c>
    </row>
    <row r="657" spans="3:11" ht="15.5" thickTop="1" thickBot="1" x14ac:dyDescent="0.4">
      <c r="C657" s="26">
        <v>46222</v>
      </c>
      <c r="D657" s="12">
        <v>36430</v>
      </c>
      <c r="E657" s="105" t="str">
        <f>IFERROR(VLOOKUP($D657,NUMDIST[],2,FALSE),"DA Non trouvéé")</f>
        <v>Bunia - ETS BOTOAFINE</v>
      </c>
      <c r="F657" s="12" t="s">
        <v>262</v>
      </c>
      <c r="G657" s="14" t="s">
        <v>19</v>
      </c>
      <c r="H657" s="13">
        <v>493500</v>
      </c>
      <c r="I657" s="13">
        <v>0</v>
      </c>
      <c r="J657" s="12" t="s">
        <v>254</v>
      </c>
      <c r="K657" s="28" t="s">
        <v>263</v>
      </c>
    </row>
    <row r="658" spans="3:11" ht="15.5" thickTop="1" thickBot="1" x14ac:dyDescent="0.4">
      <c r="C658" s="26" t="s">
        <v>296</v>
      </c>
      <c r="D658" s="12">
        <v>92122</v>
      </c>
      <c r="E658" s="105" t="str">
        <f>IFERROR(VLOOKUP($D658,NUMDIST[],2,FALSE),"DA Non trouvéé")</f>
        <v>KISANGANI - MONT GOLOGOTA</v>
      </c>
      <c r="F658" s="12" t="s">
        <v>262</v>
      </c>
      <c r="G658" s="14" t="s">
        <v>5</v>
      </c>
      <c r="H658" s="13">
        <v>286700</v>
      </c>
      <c r="I658" s="13">
        <v>0</v>
      </c>
      <c r="J658" s="12" t="s">
        <v>254</v>
      </c>
      <c r="K658" s="28" t="s">
        <v>263</v>
      </c>
    </row>
    <row r="659" spans="3:11" ht="15.5" thickTop="1" thickBot="1" x14ac:dyDescent="0.4">
      <c r="C659" s="26" t="s">
        <v>296</v>
      </c>
      <c r="D659" s="12">
        <v>79743</v>
      </c>
      <c r="E659" s="105" t="str">
        <f>IFERROR(VLOOKUP($D659,NUMDIST[],2,FALSE),"DA Non trouvéé")</f>
        <v>KASINDI - SHOP ROLKO</v>
      </c>
      <c r="F659" s="12" t="s">
        <v>262</v>
      </c>
      <c r="G659" s="14" t="s">
        <v>5</v>
      </c>
      <c r="H659" s="13">
        <v>117500</v>
      </c>
      <c r="I659" s="13">
        <v>0</v>
      </c>
      <c r="J659" s="12" t="s">
        <v>254</v>
      </c>
      <c r="K659" s="28" t="s">
        <v>263</v>
      </c>
    </row>
    <row r="660" spans="3:11" ht="15.5" thickTop="1" thickBot="1" x14ac:dyDescent="0.4">
      <c r="C660" s="26" t="s">
        <v>296</v>
      </c>
      <c r="D660" s="12">
        <v>79743</v>
      </c>
      <c r="E660" s="105" t="str">
        <f>IFERROR(VLOOKUP($D660,NUMDIST[],2,FALSE),"DA Non trouvéé")</f>
        <v>KASINDI - SHOP ROLKO</v>
      </c>
      <c r="F660" s="12" t="s">
        <v>262</v>
      </c>
      <c r="G660" s="14" t="s">
        <v>5</v>
      </c>
      <c r="H660" s="13">
        <v>235000</v>
      </c>
      <c r="I660" s="13">
        <v>0</v>
      </c>
      <c r="J660" s="12" t="s">
        <v>254</v>
      </c>
      <c r="K660" s="28" t="s">
        <v>263</v>
      </c>
    </row>
    <row r="661" spans="3:11" ht="15.5" thickTop="1" thickBot="1" x14ac:dyDescent="0.4">
      <c r="C661" s="26" t="s">
        <v>296</v>
      </c>
      <c r="D661" s="12">
        <v>42153</v>
      </c>
      <c r="E661" s="105" t="str">
        <f>IFERROR(VLOOKUP($D661,NUMDIST[],2,FALSE),"DA Non trouvéé")</f>
        <v>BUNIA - ETS SALEM</v>
      </c>
      <c r="F661" s="12" t="s">
        <v>262</v>
      </c>
      <c r="G661" s="14" t="s">
        <v>5</v>
      </c>
      <c r="H661" s="13">
        <v>235000</v>
      </c>
      <c r="I661" s="13">
        <v>0</v>
      </c>
      <c r="J661" s="12" t="s">
        <v>254</v>
      </c>
      <c r="K661" s="28" t="s">
        <v>263</v>
      </c>
    </row>
    <row r="662" spans="3:11" ht="15.5" thickTop="1" thickBot="1" x14ac:dyDescent="0.4">
      <c r="C662" s="26" t="s">
        <v>296</v>
      </c>
      <c r="D662" s="12">
        <v>59057</v>
      </c>
      <c r="E662" s="105" t="str">
        <f>IFERROR(VLOOKUP($D662,NUMDIST[],2,FALSE),"DA Non trouvéé")</f>
        <v>ITURI - ETS BJSE</v>
      </c>
      <c r="F662" s="12" t="s">
        <v>262</v>
      </c>
      <c r="G662" s="14" t="s">
        <v>19</v>
      </c>
      <c r="H662" s="13">
        <v>1175000</v>
      </c>
      <c r="I662" s="13">
        <v>0</v>
      </c>
      <c r="J662" s="12" t="s">
        <v>254</v>
      </c>
      <c r="K662" s="28" t="s">
        <v>263</v>
      </c>
    </row>
    <row r="663" spans="3:11" ht="15.5" thickTop="1" thickBot="1" x14ac:dyDescent="0.4">
      <c r="C663" s="26" t="s">
        <v>296</v>
      </c>
      <c r="D663" s="12">
        <v>90185</v>
      </c>
      <c r="E663" s="105" t="str">
        <f>IFERROR(VLOOKUP($D663,NUMDIST[],2,FALSE),"DA Non trouvéé")</f>
        <v>DJUGU - CHEZ ROBERT</v>
      </c>
      <c r="F663" s="12" t="s">
        <v>262</v>
      </c>
      <c r="G663" s="14" t="s">
        <v>19</v>
      </c>
      <c r="H663" s="13">
        <v>528750</v>
      </c>
      <c r="I663" s="13">
        <v>0</v>
      </c>
      <c r="J663" s="12" t="s">
        <v>254</v>
      </c>
      <c r="K663" s="28" t="s">
        <v>263</v>
      </c>
    </row>
    <row r="664" spans="3:11" ht="15.5" thickTop="1" thickBot="1" x14ac:dyDescent="0.4">
      <c r="C664" s="26" t="s">
        <v>296</v>
      </c>
      <c r="D664" s="12">
        <v>91398</v>
      </c>
      <c r="E664" s="105" t="str">
        <f>IFERROR(VLOOKUP($D664,NUMDIST[],2,FALSE),"DA Non trouvéé")</f>
        <v>GOMA - YEKAYA BUSINESS</v>
      </c>
      <c r="F664" s="12" t="s">
        <v>262</v>
      </c>
      <c r="G664" s="14" t="s">
        <v>5</v>
      </c>
      <c r="H664" s="13">
        <v>235000</v>
      </c>
      <c r="I664" s="13">
        <v>0</v>
      </c>
      <c r="J664" s="12" t="s">
        <v>254</v>
      </c>
      <c r="K664" s="28" t="s">
        <v>263</v>
      </c>
    </row>
    <row r="665" spans="3:11" ht="15.5" thickTop="1" thickBot="1" x14ac:dyDescent="0.4">
      <c r="C665" s="26" t="s">
        <v>296</v>
      </c>
      <c r="D665" s="12">
        <v>106295</v>
      </c>
      <c r="E665" s="105" t="str">
        <f>IFERROR(VLOOKUP($D665,NUMDIST[],2,FALSE),"DA Non trouvéé")</f>
        <v>SHARI - SHOP DIEU MOI</v>
      </c>
      <c r="F665" s="12" t="s">
        <v>262</v>
      </c>
      <c r="G665" s="14" t="s">
        <v>4</v>
      </c>
      <c r="H665" s="13">
        <v>235000</v>
      </c>
      <c r="I665" s="13">
        <v>0</v>
      </c>
      <c r="J665" s="12" t="s">
        <v>254</v>
      </c>
      <c r="K665" s="28" t="s">
        <v>263</v>
      </c>
    </row>
    <row r="666" spans="3:11" ht="15.5" thickTop="1" thickBot="1" x14ac:dyDescent="0.4">
      <c r="C666" s="26" t="s">
        <v>296</v>
      </c>
      <c r="D666" s="12">
        <v>90184</v>
      </c>
      <c r="E666" s="105" t="str">
        <f>IFERROR(VLOOKUP($D666,NUMDIST[],2,FALSE),"DA Non trouvéé")</f>
        <v>BUNIA - ETS MOISE MESO</v>
      </c>
      <c r="F666" s="12" t="s">
        <v>262</v>
      </c>
      <c r="G666" s="14" t="s">
        <v>19</v>
      </c>
      <c r="H666" s="13">
        <v>470000</v>
      </c>
      <c r="I666" s="13">
        <v>0</v>
      </c>
      <c r="J666" s="12" t="s">
        <v>254</v>
      </c>
      <c r="K666" s="28" t="s">
        <v>263</v>
      </c>
    </row>
    <row r="667" spans="3:11" ht="15.5" thickTop="1" thickBot="1" x14ac:dyDescent="0.4">
      <c r="C667" s="26" t="s">
        <v>296</v>
      </c>
      <c r="D667" s="12">
        <v>90134</v>
      </c>
      <c r="E667" s="105" t="str">
        <f>IFERROR(VLOOKUP($D667,NUMDIST[],2,FALSE),"DA Non trouvéé")</f>
        <v>KISANGANI - ETS SOLUTION PLUS</v>
      </c>
      <c r="F667" s="12" t="s">
        <v>262</v>
      </c>
      <c r="G667" s="14" t="s">
        <v>4</v>
      </c>
      <c r="H667" s="13">
        <v>350000</v>
      </c>
      <c r="I667" s="13">
        <v>0</v>
      </c>
      <c r="J667" s="12" t="s">
        <v>254</v>
      </c>
      <c r="K667" s="28" t="s">
        <v>263</v>
      </c>
    </row>
    <row r="668" spans="3:11" ht="15.5" thickTop="1" thickBot="1" x14ac:dyDescent="0.4">
      <c r="C668" s="26" t="s">
        <v>296</v>
      </c>
      <c r="D668" s="12">
        <v>99337</v>
      </c>
      <c r="E668" s="105" t="str">
        <f>IFERROR(VLOOKUP($D668,NUMDIST[],2,FALSE),"DA Non trouvéé")</f>
        <v>ISIRO - SHOP CHARA HOUSE</v>
      </c>
      <c r="F668" s="12" t="s">
        <v>262</v>
      </c>
      <c r="G668" s="14" t="s">
        <v>8</v>
      </c>
      <c r="H668" s="13">
        <v>1668200</v>
      </c>
      <c r="I668" s="13">
        <v>0</v>
      </c>
      <c r="J668" s="12" t="s">
        <v>254</v>
      </c>
      <c r="K668" s="28" t="s">
        <v>263</v>
      </c>
    </row>
    <row r="669" spans="3:11" ht="15.5" thickTop="1" thickBot="1" x14ac:dyDescent="0.4">
      <c r="C669" s="26" t="s">
        <v>296</v>
      </c>
      <c r="D669" s="12">
        <v>104189</v>
      </c>
      <c r="E669" s="105" t="str">
        <f>IFERROR(VLOOKUP($D669,NUMDIST[],2,FALSE),"DA Non trouvéé")</f>
        <v>KIVU - PILIPILI GROUP</v>
      </c>
      <c r="F669" s="12" t="s">
        <v>262</v>
      </c>
      <c r="G669" s="14" t="s">
        <v>5</v>
      </c>
      <c r="H669" s="13">
        <v>190000</v>
      </c>
      <c r="I669" s="13">
        <v>0</v>
      </c>
      <c r="J669" s="12" t="s">
        <v>254</v>
      </c>
      <c r="K669" s="28" t="s">
        <v>263</v>
      </c>
    </row>
    <row r="670" spans="3:11" ht="15.5" thickTop="1" thickBot="1" x14ac:dyDescent="0.4">
      <c r="C670" s="26" t="s">
        <v>296</v>
      </c>
      <c r="D670" s="12">
        <v>85837</v>
      </c>
      <c r="E670" s="105" t="str">
        <f>IFERROR(VLOOKUP($D670,NUMDIST[],2,FALSE),"DA Non trouvéé")</f>
        <v>BENI - SHOP ESPERANCE</v>
      </c>
      <c r="F670" s="12" t="s">
        <v>262</v>
      </c>
      <c r="G670" s="14" t="s">
        <v>7</v>
      </c>
      <c r="H670" s="13">
        <v>470000</v>
      </c>
      <c r="I670" s="13">
        <v>0</v>
      </c>
      <c r="J670" s="12" t="s">
        <v>254</v>
      </c>
      <c r="K670" s="28" t="s">
        <v>263</v>
      </c>
    </row>
    <row r="671" spans="3:11" ht="15.5" thickTop="1" thickBot="1" x14ac:dyDescent="0.4">
      <c r="C671" s="26" t="s">
        <v>296</v>
      </c>
      <c r="D671" s="12">
        <v>104189</v>
      </c>
      <c r="E671" s="105" t="str">
        <f>IFERROR(VLOOKUP($D671,NUMDIST[],2,FALSE),"DA Non trouvéé")</f>
        <v>KIVU - PILIPILI GROUP</v>
      </c>
      <c r="F671" s="12" t="s">
        <v>262</v>
      </c>
      <c r="G671" s="14" t="s">
        <v>5</v>
      </c>
      <c r="H671" s="13">
        <v>256500</v>
      </c>
      <c r="I671" s="13">
        <v>0</v>
      </c>
      <c r="J671" s="12" t="s">
        <v>254</v>
      </c>
      <c r="K671" s="28" t="s">
        <v>263</v>
      </c>
    </row>
    <row r="672" spans="3:11" ht="15.5" thickTop="1" thickBot="1" x14ac:dyDescent="0.4">
      <c r="C672" s="26" t="s">
        <v>296</v>
      </c>
      <c r="D672" s="12">
        <v>34597</v>
      </c>
      <c r="E672" s="105" t="str">
        <f>IFERROR(VLOOKUP($D672,NUMDIST[],2,FALSE),"DA Non trouvéé")</f>
        <v>ETABLISSEMENT-  JPS DM BIGO</v>
      </c>
      <c r="F672" s="12" t="s">
        <v>262</v>
      </c>
      <c r="G672" s="14" t="s">
        <v>7</v>
      </c>
      <c r="H672" s="13">
        <v>2802000</v>
      </c>
      <c r="I672" s="13">
        <v>0</v>
      </c>
      <c r="J672" s="12" t="s">
        <v>254</v>
      </c>
      <c r="K672" s="28" t="s">
        <v>263</v>
      </c>
    </row>
    <row r="673" spans="3:11" ht="15.5" thickTop="1" thickBot="1" x14ac:dyDescent="0.4">
      <c r="C673" s="26" t="s">
        <v>296</v>
      </c>
      <c r="D673" s="12">
        <v>36433</v>
      </c>
      <c r="E673" s="105" t="str">
        <f>IFERROR(VLOOKUP($D673,NUMDIST[],2,FALSE),"DA Non trouvéé")</f>
        <v>BUNIA - CHEZ JUSTIN</v>
      </c>
      <c r="F673" s="12" t="s">
        <v>262</v>
      </c>
      <c r="G673" s="14" t="s">
        <v>7</v>
      </c>
      <c r="H673" s="13">
        <v>1175000</v>
      </c>
      <c r="I673" s="13">
        <v>0</v>
      </c>
      <c r="J673" s="12" t="s">
        <v>254</v>
      </c>
      <c r="K673" s="28" t="s">
        <v>263</v>
      </c>
    </row>
    <row r="674" spans="3:11" ht="15.5" thickTop="1" thickBot="1" x14ac:dyDescent="0.4">
      <c r="C674" s="26" t="s">
        <v>296</v>
      </c>
      <c r="D674" s="12">
        <v>85827</v>
      </c>
      <c r="E674" s="105" t="str">
        <f>IFERROR(VLOOKUP($D674,NUMDIST[],2,FALSE),"DA Non trouvéé")</f>
        <v>KISANGANI - SHOP LA GRACE</v>
      </c>
      <c r="F674" s="12" t="s">
        <v>262</v>
      </c>
      <c r="G674" s="14" t="s">
        <v>4</v>
      </c>
      <c r="H674" s="13">
        <v>842500</v>
      </c>
      <c r="I674" s="13">
        <v>0</v>
      </c>
      <c r="J674" s="12" t="s">
        <v>254</v>
      </c>
      <c r="K674" s="28" t="s">
        <v>263</v>
      </c>
    </row>
    <row r="675" spans="3:11" ht="15.5" thickTop="1" thickBot="1" x14ac:dyDescent="0.4">
      <c r="C675" s="26" t="s">
        <v>296</v>
      </c>
      <c r="D675" s="12">
        <v>36710</v>
      </c>
      <c r="E675" s="105" t="str">
        <f>IFERROR(VLOOKUP($D675,NUMDIST[],2,FALSE),"DA Non trouvéé")</f>
        <v>BUNIA - BOUTIQUE JPS DM</v>
      </c>
      <c r="F675" s="12" t="s">
        <v>262</v>
      </c>
      <c r="G675" s="14" t="s">
        <v>19</v>
      </c>
      <c r="H675" s="13">
        <v>4449300</v>
      </c>
      <c r="I675" s="13">
        <v>0</v>
      </c>
      <c r="J675" s="12" t="s">
        <v>254</v>
      </c>
      <c r="K675" s="28" t="s">
        <v>263</v>
      </c>
    </row>
    <row r="676" spans="3:11" ht="15.5" thickTop="1" thickBot="1" x14ac:dyDescent="0.4">
      <c r="C676" s="26" t="s">
        <v>296</v>
      </c>
      <c r="D676" s="12">
        <v>55349</v>
      </c>
      <c r="E676" s="105" t="str">
        <f>IFERROR(VLOOKUP($D676,NUMDIST[],2,FALSE),"DA Non trouvéé")</f>
        <v>ISIRO - LES AMIS</v>
      </c>
      <c r="F676" s="12" t="s">
        <v>262</v>
      </c>
      <c r="G676" s="14" t="s">
        <v>7</v>
      </c>
      <c r="H676" s="13">
        <v>430050</v>
      </c>
      <c r="I676" s="13">
        <v>0</v>
      </c>
      <c r="J676" s="12" t="s">
        <v>254</v>
      </c>
      <c r="K676" s="28" t="s">
        <v>263</v>
      </c>
    </row>
    <row r="677" spans="3:11" ht="15.5" thickTop="1" thickBot="1" x14ac:dyDescent="0.4">
      <c r="C677" s="26" t="s">
        <v>296</v>
      </c>
      <c r="D677" s="12">
        <v>32928</v>
      </c>
      <c r="E677" s="105" t="str">
        <f>IFERROR(VLOOKUP($D677,NUMDIST[],2,FALSE),"DA Non trouvéé")</f>
        <v>KISANGANI - SHOP ESCALIER</v>
      </c>
      <c r="F677" s="12" t="s">
        <v>262</v>
      </c>
      <c r="G677" s="14" t="s">
        <v>5</v>
      </c>
      <c r="H677" s="13">
        <v>1410000</v>
      </c>
      <c r="I677" s="13">
        <v>0</v>
      </c>
      <c r="J677" s="12" t="s">
        <v>254</v>
      </c>
      <c r="K677" s="28" t="s">
        <v>263</v>
      </c>
    </row>
    <row r="678" spans="3:11" ht="15.5" thickTop="1" thickBot="1" x14ac:dyDescent="0.4">
      <c r="C678" s="26" t="s">
        <v>296</v>
      </c>
      <c r="D678" s="12">
        <v>71087</v>
      </c>
      <c r="E678" s="105" t="str">
        <f>IFERROR(VLOOKUP($D678,NUMDIST[],2,FALSE),"DA Non trouvéé")</f>
        <v>ETS CALIFORNIE</v>
      </c>
      <c r="F678" s="12" t="s">
        <v>262</v>
      </c>
      <c r="G678" s="14" t="s">
        <v>19</v>
      </c>
      <c r="H678" s="13">
        <v>235000</v>
      </c>
      <c r="I678" s="13">
        <v>0</v>
      </c>
      <c r="J678" s="12" t="s">
        <v>254</v>
      </c>
      <c r="K678" s="28" t="s">
        <v>263</v>
      </c>
    </row>
    <row r="679" spans="3:11" ht="15.5" thickTop="1" thickBot="1" x14ac:dyDescent="0.4">
      <c r="C679" s="26" t="s">
        <v>296</v>
      </c>
      <c r="D679" s="12">
        <v>90163</v>
      </c>
      <c r="E679" s="105" t="str">
        <f>IFERROR(VLOOKUP($D679,NUMDIST[],2,FALSE),"DA Non trouvéé")</f>
        <v>BUTEMBO - GRANDEUR DIVINE SHOP</v>
      </c>
      <c r="F679" s="12" t="s">
        <v>262</v>
      </c>
      <c r="G679" s="14" t="s">
        <v>7</v>
      </c>
      <c r="H679" s="13">
        <v>3001500</v>
      </c>
      <c r="I679" s="13">
        <v>0</v>
      </c>
      <c r="J679" s="12" t="s">
        <v>254</v>
      </c>
      <c r="K679" s="28" t="s">
        <v>263</v>
      </c>
    </row>
    <row r="680" spans="3:11" ht="15.5" thickTop="1" thickBot="1" x14ac:dyDescent="0.4">
      <c r="C680" s="26" t="s">
        <v>296</v>
      </c>
      <c r="D680" s="12">
        <v>95820</v>
      </c>
      <c r="E680" s="105" t="str">
        <f>IFERROR(VLOOKUP($D680,NUMDIST[],2,FALSE),"DA Non trouvéé")</f>
        <v>MONGWALU - MAISON INTEMPORELLE</v>
      </c>
      <c r="F680" s="12" t="s">
        <v>262</v>
      </c>
      <c r="G680" s="14" t="s">
        <v>4</v>
      </c>
      <c r="H680" s="13">
        <v>1300250</v>
      </c>
      <c r="I680" s="13">
        <v>0</v>
      </c>
      <c r="J680" s="12" t="s">
        <v>254</v>
      </c>
      <c r="K680" s="28" t="s">
        <v>263</v>
      </c>
    </row>
    <row r="681" spans="3:11" ht="15.5" thickTop="1" thickBot="1" x14ac:dyDescent="0.4">
      <c r="C681" s="26" t="s">
        <v>296</v>
      </c>
      <c r="D681" s="12">
        <v>95817</v>
      </c>
      <c r="E681" s="105" t="str">
        <f>IFERROR(VLOOKUP($D681,NUMDIST[],2,FALSE),"DA Non trouvéé")</f>
        <v>BUNIA - YESU NI JIBU</v>
      </c>
      <c r="F681" s="12" t="s">
        <v>262</v>
      </c>
      <c r="G681" s="14" t="s">
        <v>6</v>
      </c>
      <c r="H681" s="13">
        <v>235000</v>
      </c>
      <c r="I681" s="13">
        <v>0</v>
      </c>
      <c r="J681" s="12" t="s">
        <v>15</v>
      </c>
      <c r="K681" s="28" t="s">
        <v>263</v>
      </c>
    </row>
    <row r="682" spans="3:11" ht="15.5" thickTop="1" thickBot="1" x14ac:dyDescent="0.4">
      <c r="C682" s="26" t="s">
        <v>296</v>
      </c>
      <c r="D682" s="12">
        <v>90181</v>
      </c>
      <c r="E682" s="105" t="str">
        <f>IFERROR(VLOOKUP($D682,NUMDIST[],2,FALSE),"DA Non trouvéé")</f>
        <v>BUNIA - LA GRACE DIVINE</v>
      </c>
      <c r="F682" s="12" t="s">
        <v>262</v>
      </c>
      <c r="G682" s="14" t="s">
        <v>5</v>
      </c>
      <c r="H682" s="13">
        <v>235000</v>
      </c>
      <c r="I682" s="13">
        <v>0</v>
      </c>
      <c r="J682" s="12" t="s">
        <v>254</v>
      </c>
      <c r="K682" s="28" t="s">
        <v>263</v>
      </c>
    </row>
    <row r="683" spans="3:11" ht="15.5" thickTop="1" thickBot="1" x14ac:dyDescent="0.4">
      <c r="C683" s="26" t="s">
        <v>296</v>
      </c>
      <c r="D683" s="12">
        <v>92119</v>
      </c>
      <c r="E683" s="105" t="str">
        <f>IFERROR(VLOOKUP($D683,NUMDIST[],2,FALSE),"DA Non trouvéé")</f>
        <v>ISIRO - HADASSA BUSINESS</v>
      </c>
      <c r="F683" s="12" t="s">
        <v>262</v>
      </c>
      <c r="G683" s="14" t="s">
        <v>7</v>
      </c>
      <c r="H683" s="13">
        <v>470000</v>
      </c>
      <c r="I683" s="13">
        <v>0</v>
      </c>
      <c r="J683" s="12" t="s">
        <v>254</v>
      </c>
      <c r="K683" s="28" t="s">
        <v>263</v>
      </c>
    </row>
    <row r="684" spans="3:11" ht="15.5" thickTop="1" thickBot="1" x14ac:dyDescent="0.4">
      <c r="C684" s="26" t="s">
        <v>296</v>
      </c>
      <c r="D684" s="12">
        <v>36272</v>
      </c>
      <c r="E684" s="105" t="str">
        <f>IFERROR(VLOOKUP($D684,NUMDIST[],2,FALSE),"DA Non trouvéé")</f>
        <v>BUNIA - JPS DM</v>
      </c>
      <c r="F684" s="12" t="s">
        <v>273</v>
      </c>
      <c r="G684" s="14" t="s">
        <v>8</v>
      </c>
      <c r="H684" s="13">
        <v>0</v>
      </c>
      <c r="I684" s="13">
        <v>47000000</v>
      </c>
      <c r="J684" s="12" t="s">
        <v>254</v>
      </c>
      <c r="K684" s="28" t="s">
        <v>276</v>
      </c>
    </row>
    <row r="685" spans="3:11" ht="15.5" thickTop="1" thickBot="1" x14ac:dyDescent="0.4">
      <c r="C685" s="26" t="s">
        <v>296</v>
      </c>
      <c r="D685" s="12">
        <v>95818</v>
      </c>
      <c r="E685" s="105" t="str">
        <f>IFERROR(VLOOKUP($D685,NUMDIST[],2,FALSE),"DA Non trouvéé")</f>
        <v>BUNIA - SHOP BLESSING</v>
      </c>
      <c r="F685" s="12" t="s">
        <v>262</v>
      </c>
      <c r="G685" s="14" t="s">
        <v>6</v>
      </c>
      <c r="H685" s="13">
        <v>235000</v>
      </c>
      <c r="I685" s="13">
        <v>0</v>
      </c>
      <c r="J685" s="12" t="s">
        <v>15</v>
      </c>
      <c r="K685" s="28"/>
    </row>
    <row r="686" spans="3:11" ht="15.5" thickTop="1" thickBot="1" x14ac:dyDescent="0.4">
      <c r="C686" s="26" t="s">
        <v>384</v>
      </c>
      <c r="D686" s="12">
        <v>91404</v>
      </c>
      <c r="E686" s="105" t="str">
        <f>IFERROR(VLOOKUP($D686,NUMDIST[],2,FALSE),"DA Non trouvéé")</f>
        <v>GOMA - SHOP GOMA</v>
      </c>
      <c r="F686" s="12" t="s">
        <v>262</v>
      </c>
      <c r="G686" s="14" t="s">
        <v>6</v>
      </c>
      <c r="H686" s="13">
        <v>470000</v>
      </c>
      <c r="I686" s="13">
        <v>0</v>
      </c>
      <c r="J686" s="12" t="s">
        <v>254</v>
      </c>
      <c r="K686" s="28" t="s">
        <v>263</v>
      </c>
    </row>
    <row r="687" spans="3:11" ht="15.5" thickTop="1" thickBot="1" x14ac:dyDescent="0.4">
      <c r="C687" s="26" t="s">
        <v>384</v>
      </c>
      <c r="D687" s="12">
        <v>87503</v>
      </c>
      <c r="E687" s="105" t="str">
        <f>IFERROR(VLOOKUP($D687,NUMDIST[],2,FALSE),"DA Non trouvéé")</f>
        <v>BUKAVU - ETS DIEU EST GRAND</v>
      </c>
      <c r="F687" s="12" t="s">
        <v>262</v>
      </c>
      <c r="G687" s="14" t="s">
        <v>6</v>
      </c>
      <c r="H687" s="13">
        <v>235000</v>
      </c>
      <c r="I687" s="13">
        <v>0</v>
      </c>
      <c r="J687" s="12" t="s">
        <v>254</v>
      </c>
      <c r="K687" s="28" t="s">
        <v>263</v>
      </c>
    </row>
    <row r="688" spans="3:11" ht="15.5" thickTop="1" thickBot="1" x14ac:dyDescent="0.4">
      <c r="C688" s="26" t="s">
        <v>384</v>
      </c>
      <c r="D688" s="12">
        <v>55349</v>
      </c>
      <c r="E688" s="105" t="str">
        <f>IFERROR(VLOOKUP($D688,NUMDIST[],2,FALSE),"DA Non trouvéé")</f>
        <v>ISIRO - LES AMIS</v>
      </c>
      <c r="F688" s="12" t="s">
        <v>262</v>
      </c>
      <c r="G688" s="14" t="s">
        <v>7</v>
      </c>
      <c r="H688" s="13">
        <v>305500</v>
      </c>
      <c r="I688" s="13">
        <v>0</v>
      </c>
      <c r="J688" s="12" t="s">
        <v>254</v>
      </c>
      <c r="K688" s="28" t="s">
        <v>263</v>
      </c>
    </row>
    <row r="689" spans="3:11" ht="15.5" thickTop="1" thickBot="1" x14ac:dyDescent="0.4">
      <c r="C689" s="26" t="s">
        <v>384</v>
      </c>
      <c r="D689" s="12">
        <v>85827</v>
      </c>
      <c r="E689" s="105" t="str">
        <f>IFERROR(VLOOKUP($D689,NUMDIST[],2,FALSE),"DA Non trouvéé")</f>
        <v>KISANGANI - SHOP LA GRACE</v>
      </c>
      <c r="F689" s="12" t="s">
        <v>262</v>
      </c>
      <c r="G689" s="14" t="s">
        <v>4</v>
      </c>
      <c r="H689" s="13">
        <v>705000</v>
      </c>
      <c r="I689" s="13">
        <v>0</v>
      </c>
      <c r="J689" s="12" t="s">
        <v>254</v>
      </c>
      <c r="K689" s="28" t="s">
        <v>263</v>
      </c>
    </row>
    <row r="690" spans="3:11" ht="15.5" thickTop="1" thickBot="1" x14ac:dyDescent="0.4">
      <c r="C690" s="26" t="s">
        <v>384</v>
      </c>
      <c r="D690" s="12">
        <v>93938</v>
      </c>
      <c r="E690" s="105" t="str">
        <f>IFERROR(VLOOKUP($D690,NUMDIST[],2,FALSE),"DA Non trouvéé")</f>
        <v>ARIWARA - ETS GIFT AZUR</v>
      </c>
      <c r="F690" s="12" t="s">
        <v>262</v>
      </c>
      <c r="G690" s="14" t="s">
        <v>4</v>
      </c>
      <c r="H690" s="13">
        <v>705000</v>
      </c>
      <c r="I690" s="13">
        <v>0</v>
      </c>
      <c r="J690" s="12" t="s">
        <v>254</v>
      </c>
      <c r="K690" s="28" t="s">
        <v>263</v>
      </c>
    </row>
    <row r="691" spans="3:11" ht="15.5" thickTop="1" thickBot="1" x14ac:dyDescent="0.4">
      <c r="C691" s="26" t="s">
        <v>384</v>
      </c>
      <c r="D691" s="12">
        <v>60372</v>
      </c>
      <c r="E691" s="105" t="str">
        <f>IFERROR(VLOOKUP($D691,NUMDIST[],2,FALSE),"DA Non trouvéé")</f>
        <v>KAMITUGA - LA NOSTALGIE</v>
      </c>
      <c r="F691" s="12" t="s">
        <v>262</v>
      </c>
      <c r="G691" s="14" t="s">
        <v>5</v>
      </c>
      <c r="H691" s="13">
        <v>235000</v>
      </c>
      <c r="I691" s="13">
        <v>0</v>
      </c>
      <c r="J691" s="12" t="s">
        <v>254</v>
      </c>
      <c r="K691" s="28" t="s">
        <v>263</v>
      </c>
    </row>
    <row r="692" spans="3:11" ht="15.5" thickTop="1" thickBot="1" x14ac:dyDescent="0.4">
      <c r="C692" s="26" t="s">
        <v>384</v>
      </c>
      <c r="D692" s="12">
        <v>54298</v>
      </c>
      <c r="E692" s="105" t="str">
        <f>IFERROR(VLOOKUP($D692,NUMDIST[],2,FALSE),"DA Non trouvéé")</f>
        <v>KIVU - SHOP SATELLITE</v>
      </c>
      <c r="F692" s="12" t="s">
        <v>262</v>
      </c>
      <c r="G692" s="14" t="s">
        <v>5</v>
      </c>
      <c r="H692" s="13">
        <v>705000</v>
      </c>
      <c r="I692" s="13">
        <v>0</v>
      </c>
      <c r="J692" s="12" t="s">
        <v>254</v>
      </c>
      <c r="K692" s="28" t="s">
        <v>263</v>
      </c>
    </row>
    <row r="693" spans="3:11" ht="15.5" thickTop="1" thickBot="1" x14ac:dyDescent="0.4">
      <c r="C693" s="26" t="s">
        <v>384</v>
      </c>
      <c r="D693" s="12">
        <v>90163</v>
      </c>
      <c r="E693" s="105" t="str">
        <f>IFERROR(VLOOKUP($D693,NUMDIST[],2,FALSE),"DA Non trouvéé")</f>
        <v>BUTEMBO - GRANDEUR DIVINE SHOP</v>
      </c>
      <c r="F693" s="12" t="s">
        <v>262</v>
      </c>
      <c r="G693" s="14" t="s">
        <v>19</v>
      </c>
      <c r="H693" s="13">
        <v>99000</v>
      </c>
      <c r="I693" s="13">
        <v>0</v>
      </c>
      <c r="J693" s="12" t="s">
        <v>254</v>
      </c>
      <c r="K693" s="28" t="s">
        <v>263</v>
      </c>
    </row>
    <row r="694" spans="3:11" ht="15.5" thickTop="1" thickBot="1" x14ac:dyDescent="0.4">
      <c r="C694" s="26" t="s">
        <v>384</v>
      </c>
      <c r="D694" s="12">
        <v>55350</v>
      </c>
      <c r="E694" s="105" t="str">
        <f>IFERROR(VLOOKUP($D694,NUMDIST[],2,FALSE),"DA Non trouvéé")</f>
        <v>OICHA - CLINIQUE ORDINATEURS</v>
      </c>
      <c r="F694" s="12" t="s">
        <v>262</v>
      </c>
      <c r="G694" s="14" t="s">
        <v>5</v>
      </c>
      <c r="H694" s="13">
        <v>399500</v>
      </c>
      <c r="I694" s="13">
        <v>0</v>
      </c>
      <c r="J694" s="12" t="s">
        <v>254</v>
      </c>
      <c r="K694" s="28" t="s">
        <v>263</v>
      </c>
    </row>
    <row r="695" spans="3:11" ht="15.5" thickTop="1" thickBot="1" x14ac:dyDescent="0.4">
      <c r="C695" s="26" t="s">
        <v>384</v>
      </c>
      <c r="D695" s="12">
        <v>99337</v>
      </c>
      <c r="E695" s="105" t="str">
        <f>IFERROR(VLOOKUP($D695,NUMDIST[],2,FALSE),"DA Non trouvéé")</f>
        <v>ISIRO - SHOP CHARA HOUSE</v>
      </c>
      <c r="F695" s="12" t="s">
        <v>262</v>
      </c>
      <c r="G695" s="14" t="s">
        <v>7</v>
      </c>
      <c r="H695" s="13">
        <v>643900</v>
      </c>
      <c r="I695" s="13">
        <v>0</v>
      </c>
      <c r="J695" s="12" t="s">
        <v>254</v>
      </c>
      <c r="K695" s="28" t="s">
        <v>263</v>
      </c>
    </row>
    <row r="696" spans="3:11" ht="15.5" thickTop="1" thickBot="1" x14ac:dyDescent="0.4">
      <c r="C696" s="26" t="s">
        <v>384</v>
      </c>
      <c r="D696" s="12">
        <v>71084</v>
      </c>
      <c r="E696" s="105" t="str">
        <f>IFERROR(VLOOKUP($D696,NUMDIST[],2,FALSE),"DA Non trouvéé")</f>
        <v>DURBA - Ets HUSSUMA BUSINESS</v>
      </c>
      <c r="F696" s="12" t="s">
        <v>262</v>
      </c>
      <c r="G696" s="14" t="s">
        <v>7</v>
      </c>
      <c r="H696" s="13">
        <v>8225000</v>
      </c>
      <c r="I696" s="13">
        <v>0</v>
      </c>
      <c r="J696" s="12" t="s">
        <v>254</v>
      </c>
      <c r="K696" s="28" t="s">
        <v>263</v>
      </c>
    </row>
    <row r="697" spans="3:11" ht="15.5" thickTop="1" thickBot="1" x14ac:dyDescent="0.4">
      <c r="C697" s="26" t="s">
        <v>384</v>
      </c>
      <c r="D697" s="12">
        <v>90141</v>
      </c>
      <c r="E697" s="105" t="str">
        <f>IFERROR(VLOOKUP($D697,NUMDIST[],2,FALSE),"DA Non trouvéé")</f>
        <v>GOMA - ETS SHOP ANUARITE</v>
      </c>
      <c r="F697" s="12" t="s">
        <v>262</v>
      </c>
      <c r="G697" s="14" t="s">
        <v>5</v>
      </c>
      <c r="H697" s="13">
        <v>216200</v>
      </c>
      <c r="I697" s="13">
        <v>0</v>
      </c>
      <c r="J697" s="12" t="s">
        <v>254</v>
      </c>
      <c r="K697" s="28" t="s">
        <v>263</v>
      </c>
    </row>
    <row r="698" spans="3:11" ht="15.5" thickTop="1" thickBot="1" x14ac:dyDescent="0.4">
      <c r="C698" s="26" t="s">
        <v>384</v>
      </c>
      <c r="D698" s="12">
        <v>36710</v>
      </c>
      <c r="E698" s="105" t="str">
        <f>IFERROR(VLOOKUP($D698,NUMDIST[],2,FALSE),"DA Non trouvéé")</f>
        <v>BUNIA - BOUTIQUE JPS DM</v>
      </c>
      <c r="F698" s="12" t="s">
        <v>262</v>
      </c>
      <c r="G698" s="14" t="s">
        <v>19</v>
      </c>
      <c r="H698" s="13">
        <v>1875400</v>
      </c>
      <c r="I698" s="13">
        <v>0</v>
      </c>
      <c r="J698" s="12" t="s">
        <v>254</v>
      </c>
      <c r="K698" s="28" t="s">
        <v>263</v>
      </c>
    </row>
    <row r="699" spans="3:11" ht="15.5" thickTop="1" thickBot="1" x14ac:dyDescent="0.4">
      <c r="C699" s="26" t="s">
        <v>384</v>
      </c>
      <c r="D699" s="12">
        <v>91377</v>
      </c>
      <c r="E699" s="105" t="str">
        <f>IFERROR(VLOOKUP($D699,NUMDIST[],2,FALSE),"DA Non trouvéé")</f>
        <v>BUTEMBO - BMSHOP</v>
      </c>
      <c r="F699" s="12" t="s">
        <v>262</v>
      </c>
      <c r="G699" s="14" t="s">
        <v>19</v>
      </c>
      <c r="H699" s="13">
        <v>846000</v>
      </c>
      <c r="I699" s="13">
        <v>0</v>
      </c>
      <c r="J699" s="12" t="s">
        <v>254</v>
      </c>
      <c r="K699" s="28" t="s">
        <v>263</v>
      </c>
    </row>
    <row r="700" spans="3:11" ht="15.5" thickTop="1" thickBot="1" x14ac:dyDescent="0.4">
      <c r="C700" s="26" t="s">
        <v>384</v>
      </c>
      <c r="D700" s="12">
        <v>85182</v>
      </c>
      <c r="E700" s="105" t="str">
        <f>IFERROR(VLOOKUP($D700,NUMDIST[],2,FALSE),"DA Non trouvéé")</f>
        <v>BUNIA - AD INVESTMENT</v>
      </c>
      <c r="F700" s="12" t="s">
        <v>262</v>
      </c>
      <c r="G700" s="14" t="s">
        <v>19</v>
      </c>
      <c r="H700" s="13">
        <v>235000</v>
      </c>
      <c r="I700" s="13">
        <v>0</v>
      </c>
      <c r="J700" s="12" t="s">
        <v>254</v>
      </c>
      <c r="K700" s="28" t="s">
        <v>263</v>
      </c>
    </row>
    <row r="701" spans="3:11" ht="15.5" thickTop="1" thickBot="1" x14ac:dyDescent="0.4">
      <c r="C701" s="26" t="s">
        <v>384</v>
      </c>
      <c r="D701" s="12">
        <v>104788</v>
      </c>
      <c r="E701" s="105" t="str">
        <f>IFERROR(VLOOKUP($D701,NUMDIST[],2,FALSE),"DA Non trouvéé")</f>
        <v>BUNIA - ETS DON DE DIEU</v>
      </c>
      <c r="F701" s="12" t="s">
        <v>262</v>
      </c>
      <c r="G701" s="14" t="s">
        <v>19</v>
      </c>
      <c r="H701" s="13">
        <v>235000</v>
      </c>
      <c r="I701" s="13">
        <v>0</v>
      </c>
      <c r="J701" s="12" t="s">
        <v>254</v>
      </c>
      <c r="K701" s="28" t="s">
        <v>263</v>
      </c>
    </row>
    <row r="702" spans="3:11" ht="15.5" thickTop="1" thickBot="1" x14ac:dyDescent="0.4">
      <c r="C702" s="26" t="s">
        <v>384</v>
      </c>
      <c r="D702" s="12">
        <v>34597</v>
      </c>
      <c r="E702" s="105" t="str">
        <f>IFERROR(VLOOKUP($D702,NUMDIST[],2,FALSE),"DA Non trouvéé")</f>
        <v>ETABLISSEMENT-  JPS DM BIGO</v>
      </c>
      <c r="F702" s="12" t="s">
        <v>262</v>
      </c>
      <c r="G702" s="14" t="s">
        <v>7</v>
      </c>
      <c r="H702" s="13">
        <v>493500</v>
      </c>
      <c r="I702" s="13">
        <v>0</v>
      </c>
      <c r="J702" s="12" t="s">
        <v>254</v>
      </c>
      <c r="K702" s="28" t="s">
        <v>263</v>
      </c>
    </row>
    <row r="703" spans="3:11" ht="15.5" thickTop="1" thickBot="1" x14ac:dyDescent="0.4">
      <c r="C703" s="26" t="s">
        <v>384</v>
      </c>
      <c r="D703" s="12">
        <v>36431</v>
      </c>
      <c r="E703" s="105" t="str">
        <f>IFERROR(VLOOKUP($D703,NUMDIST[],2,FALSE),"DA Non trouvéé")</f>
        <v>Isiro - MACAMPAGNE</v>
      </c>
      <c r="F703" s="12" t="s">
        <v>262</v>
      </c>
      <c r="G703" s="14" t="s">
        <v>8</v>
      </c>
      <c r="H703" s="13">
        <v>737500</v>
      </c>
      <c r="I703" s="13">
        <v>0</v>
      </c>
      <c r="J703" s="12" t="s">
        <v>254</v>
      </c>
      <c r="K703" s="28" t="s">
        <v>263</v>
      </c>
    </row>
    <row r="704" spans="3:11" ht="15.5" thickTop="1" thickBot="1" x14ac:dyDescent="0.4">
      <c r="C704" s="26" t="s">
        <v>384</v>
      </c>
      <c r="D704" s="12">
        <v>36272</v>
      </c>
      <c r="E704" s="105" t="str">
        <f>IFERROR(VLOOKUP($D704,NUMDIST[],2,FALSE),"DA Non trouvéé")</f>
        <v>BUNIA - JPS DM</v>
      </c>
      <c r="F704" s="12" t="s">
        <v>273</v>
      </c>
      <c r="G704" s="14" t="s">
        <v>7</v>
      </c>
      <c r="H704" s="13"/>
      <c r="I704" s="13">
        <v>47000000</v>
      </c>
      <c r="J704" s="12" t="s">
        <v>254</v>
      </c>
      <c r="K704" s="28" t="s">
        <v>276</v>
      </c>
    </row>
    <row r="705" spans="3:11" ht="15.5" thickTop="1" thickBot="1" x14ac:dyDescent="0.4">
      <c r="C705" s="26" t="s">
        <v>385</v>
      </c>
      <c r="D705" s="12">
        <v>42931</v>
      </c>
      <c r="E705" s="105" t="str">
        <f>IFERROR(VLOOKUP($D705,NUMDIST[],2,FALSE),"DA Non trouvéé")</f>
        <v>GOMA - VAD JPS DM</v>
      </c>
      <c r="F705" s="12" t="s">
        <v>262</v>
      </c>
      <c r="G705" s="14" t="s">
        <v>5</v>
      </c>
      <c r="H705" s="13">
        <v>148700</v>
      </c>
      <c r="I705" s="13">
        <v>0</v>
      </c>
      <c r="J705" s="12" t="s">
        <v>254</v>
      </c>
      <c r="K705" s="28" t="s">
        <v>263</v>
      </c>
    </row>
    <row r="706" spans="3:11" ht="15.5" thickTop="1" thickBot="1" x14ac:dyDescent="0.4">
      <c r="C706" s="26" t="s">
        <v>385</v>
      </c>
      <c r="D706" s="12">
        <v>79743</v>
      </c>
      <c r="E706" s="105" t="str">
        <f>IFERROR(VLOOKUP($D706,NUMDIST[],2,FALSE),"DA Non trouvéé")</f>
        <v>KASINDI - SHOP ROLKO</v>
      </c>
      <c r="F706" s="12" t="s">
        <v>262</v>
      </c>
      <c r="G706" s="14" t="s">
        <v>5</v>
      </c>
      <c r="H706" s="13">
        <v>235000</v>
      </c>
      <c r="I706" s="13">
        <v>0</v>
      </c>
      <c r="J706" s="12" t="s">
        <v>254</v>
      </c>
      <c r="K706" s="28" t="s">
        <v>263</v>
      </c>
    </row>
    <row r="707" spans="3:11" ht="15.5" thickTop="1" thickBot="1" x14ac:dyDescent="0.4">
      <c r="C707" s="26" t="s">
        <v>385</v>
      </c>
      <c r="D707" s="12">
        <v>55349</v>
      </c>
      <c r="E707" s="105" t="str">
        <f>IFERROR(VLOOKUP($D707,NUMDIST[],2,FALSE),"DA Non trouvéé")</f>
        <v>ISIRO - LES AMIS</v>
      </c>
      <c r="F707" s="12" t="s">
        <v>262</v>
      </c>
      <c r="G707" s="14" t="s">
        <v>7</v>
      </c>
      <c r="H707" s="13">
        <v>235000</v>
      </c>
      <c r="I707" s="13">
        <v>0</v>
      </c>
      <c r="J707" s="12" t="s">
        <v>254</v>
      </c>
      <c r="K707" s="28" t="s">
        <v>263</v>
      </c>
    </row>
    <row r="708" spans="3:11" ht="15.5" thickTop="1" thickBot="1" x14ac:dyDescent="0.4">
      <c r="C708" s="26" t="s">
        <v>385</v>
      </c>
      <c r="D708" s="12">
        <v>59057</v>
      </c>
      <c r="E708" s="105" t="str">
        <f>IFERROR(VLOOKUP($D708,NUMDIST[],2,FALSE),"DA Non trouvéé")</f>
        <v>ITURI - ETS BJSE</v>
      </c>
      <c r="F708" s="12" t="s">
        <v>262</v>
      </c>
      <c r="G708" s="14" t="s">
        <v>19</v>
      </c>
      <c r="H708" s="13">
        <v>1298750</v>
      </c>
      <c r="I708" s="13">
        <v>0</v>
      </c>
      <c r="J708" s="12" t="s">
        <v>254</v>
      </c>
      <c r="K708" s="28" t="s">
        <v>263</v>
      </c>
    </row>
    <row r="709" spans="3:11" ht="15.5" thickTop="1" thickBot="1" x14ac:dyDescent="0.4">
      <c r="C709" s="26" t="s">
        <v>385</v>
      </c>
      <c r="D709" s="12">
        <v>87503</v>
      </c>
      <c r="E709" s="105" t="str">
        <f>IFERROR(VLOOKUP($D709,NUMDIST[],2,FALSE),"DA Non trouvéé")</f>
        <v>BUKAVU - ETS DIEU EST GRAND</v>
      </c>
      <c r="F709" s="12" t="s">
        <v>262</v>
      </c>
      <c r="G709" s="14" t="s">
        <v>5</v>
      </c>
      <c r="H709" s="13">
        <v>752000</v>
      </c>
      <c r="I709" s="13">
        <v>0</v>
      </c>
      <c r="J709" s="12" t="s">
        <v>254</v>
      </c>
      <c r="K709" s="28" t="s">
        <v>263</v>
      </c>
    </row>
    <row r="710" spans="3:11" ht="15.5" thickTop="1" thickBot="1" x14ac:dyDescent="0.4">
      <c r="C710" s="26" t="s">
        <v>385</v>
      </c>
      <c r="D710" s="12">
        <v>42153</v>
      </c>
      <c r="E710" s="105" t="str">
        <f>IFERROR(VLOOKUP($D710,NUMDIST[],2,FALSE),"DA Non trouvéé")</f>
        <v>BUNIA - ETS SALEM</v>
      </c>
      <c r="F710" s="12" t="s">
        <v>262</v>
      </c>
      <c r="G710" s="14" t="s">
        <v>5</v>
      </c>
      <c r="H710" s="13">
        <v>235000</v>
      </c>
      <c r="I710" s="13">
        <v>0</v>
      </c>
      <c r="J710" s="12" t="s">
        <v>254</v>
      </c>
      <c r="K710" s="28" t="s">
        <v>263</v>
      </c>
    </row>
    <row r="711" spans="3:11" ht="15.5" thickTop="1" thickBot="1" x14ac:dyDescent="0.4">
      <c r="C711" s="26" t="s">
        <v>385</v>
      </c>
      <c r="D711" s="12">
        <v>84318</v>
      </c>
      <c r="E711" s="105" t="str">
        <f>IFERROR(VLOOKUP($D711,NUMDIST[],2,FALSE),"DA Non trouvéé")</f>
        <v>BUTEMBO - FONDATION RUMY</v>
      </c>
      <c r="F711" s="12" t="s">
        <v>262</v>
      </c>
      <c r="G711" s="14" t="s">
        <v>7</v>
      </c>
      <c r="H711" s="13">
        <v>235000</v>
      </c>
      <c r="I711" s="13">
        <v>0</v>
      </c>
      <c r="J711" s="12" t="s">
        <v>254</v>
      </c>
      <c r="K711" s="28" t="s">
        <v>263</v>
      </c>
    </row>
    <row r="712" spans="3:11" ht="15.5" thickTop="1" thickBot="1" x14ac:dyDescent="0.4">
      <c r="C712" s="26" t="s">
        <v>385</v>
      </c>
      <c r="D712" s="12">
        <v>42152</v>
      </c>
      <c r="E712" s="105" t="str">
        <f>IFERROR(VLOOKUP($D712,NUMDIST[],2,FALSE),"DA Non trouvéé")</f>
        <v>Bunia - Ets SKY</v>
      </c>
      <c r="F712" s="12" t="s">
        <v>262</v>
      </c>
      <c r="G712" s="14" t="s">
        <v>10</v>
      </c>
      <c r="H712" s="13">
        <v>600000</v>
      </c>
      <c r="I712" s="13">
        <v>0</v>
      </c>
      <c r="J712" s="12" t="s">
        <v>254</v>
      </c>
      <c r="K712" s="28" t="s">
        <v>263</v>
      </c>
    </row>
    <row r="713" spans="3:11" ht="15.5" thickTop="1" thickBot="1" x14ac:dyDescent="0.4">
      <c r="C713" s="26" t="s">
        <v>385</v>
      </c>
      <c r="D713" s="12">
        <v>36710</v>
      </c>
      <c r="E713" s="105" t="str">
        <f>IFERROR(VLOOKUP($D713,NUMDIST[],2,FALSE),"DA Non trouvéé")</f>
        <v>BUNIA - BOUTIQUE JPS DM</v>
      </c>
      <c r="F713" s="12" t="s">
        <v>262</v>
      </c>
      <c r="G713" s="14" t="s">
        <v>19</v>
      </c>
      <c r="H713" s="13">
        <v>1292500</v>
      </c>
      <c r="I713" s="13">
        <v>0</v>
      </c>
      <c r="J713" s="12" t="s">
        <v>254</v>
      </c>
      <c r="K713" s="28" t="s">
        <v>263</v>
      </c>
    </row>
    <row r="714" spans="3:11" ht="15.5" thickTop="1" thickBot="1" x14ac:dyDescent="0.4">
      <c r="C714" s="26" t="s">
        <v>385</v>
      </c>
      <c r="D714" s="12">
        <v>41317</v>
      </c>
      <c r="E714" s="105" t="str">
        <f>IFERROR(VLOOKUP($D714,NUMDIST[],2,FALSE),"DA Non trouvéé")</f>
        <v>Bukavu - Ets JPS DM BUKAVU</v>
      </c>
      <c r="F714" s="12" t="s">
        <v>262</v>
      </c>
      <c r="G714" s="14" t="s">
        <v>5</v>
      </c>
      <c r="H714" s="13">
        <v>364250</v>
      </c>
      <c r="I714" s="13">
        <v>0</v>
      </c>
      <c r="J714" s="12" t="s">
        <v>254</v>
      </c>
      <c r="K714" s="28" t="s">
        <v>263</v>
      </c>
    </row>
    <row r="715" spans="3:11" ht="15.5" thickTop="1" thickBot="1" x14ac:dyDescent="0.4">
      <c r="C715" s="26" t="s">
        <v>385</v>
      </c>
      <c r="D715" s="12">
        <v>95820</v>
      </c>
      <c r="E715" s="105" t="str">
        <f>IFERROR(VLOOKUP($D715,NUMDIST[],2,FALSE),"DA Non trouvéé")</f>
        <v>MONGWALU - MAISON INTEMPORELLE</v>
      </c>
      <c r="F715" s="12" t="s">
        <v>262</v>
      </c>
      <c r="G715" s="14" t="s">
        <v>4</v>
      </c>
      <c r="H715" s="13">
        <v>411250</v>
      </c>
      <c r="I715" s="13">
        <v>0</v>
      </c>
      <c r="J715" s="12" t="s">
        <v>254</v>
      </c>
      <c r="K715" s="28" t="s">
        <v>263</v>
      </c>
    </row>
    <row r="716" spans="3:11" ht="15.5" thickTop="1" thickBot="1" x14ac:dyDescent="0.4">
      <c r="C716" s="26" t="s">
        <v>385</v>
      </c>
      <c r="D716" s="12">
        <v>95823</v>
      </c>
      <c r="E716" s="105" t="str">
        <f>IFERROR(VLOOKUP($D716,NUMDIST[],2,FALSE),"DA Non trouvéé")</f>
        <v>BUNIA - ETS CANAL BIA</v>
      </c>
      <c r="F716" s="12" t="s">
        <v>262</v>
      </c>
      <c r="G716" s="14" t="s">
        <v>19</v>
      </c>
      <c r="H716" s="13">
        <v>235000</v>
      </c>
      <c r="I716" s="13">
        <v>0</v>
      </c>
      <c r="J716" s="12" t="s">
        <v>254</v>
      </c>
      <c r="K716" s="28" t="s">
        <v>263</v>
      </c>
    </row>
    <row r="717" spans="3:11" ht="15.5" thickTop="1" thickBot="1" x14ac:dyDescent="0.4">
      <c r="C717" s="26" t="s">
        <v>385</v>
      </c>
      <c r="D717" s="12">
        <v>34597</v>
      </c>
      <c r="E717" s="105" t="str">
        <f>IFERROR(VLOOKUP($D717,NUMDIST[],2,FALSE),"DA Non trouvéé")</f>
        <v>ETABLISSEMENT-  JPS DM BIGO</v>
      </c>
      <c r="F717" s="12" t="s">
        <v>262</v>
      </c>
      <c r="G717" s="14" t="s">
        <v>7</v>
      </c>
      <c r="H717" s="13">
        <v>380700</v>
      </c>
      <c r="I717" s="13">
        <v>0</v>
      </c>
      <c r="J717" s="12" t="s">
        <v>254</v>
      </c>
      <c r="K717" s="28" t="s">
        <v>263</v>
      </c>
    </row>
    <row r="718" spans="3:11" ht="15.5" thickTop="1" thickBot="1" x14ac:dyDescent="0.4">
      <c r="C718" s="26" t="s">
        <v>385</v>
      </c>
      <c r="D718" s="12">
        <v>36433</v>
      </c>
      <c r="E718" s="105" t="str">
        <f>IFERROR(VLOOKUP($D718,NUMDIST[],2,FALSE),"DA Non trouvéé")</f>
        <v>BUNIA - CHEZ JUSTIN</v>
      </c>
      <c r="F718" s="12" t="s">
        <v>262</v>
      </c>
      <c r="G718" s="14" t="s">
        <v>7</v>
      </c>
      <c r="H718" s="13">
        <v>1175000</v>
      </c>
      <c r="I718" s="13">
        <v>0</v>
      </c>
      <c r="J718" s="12" t="s">
        <v>254</v>
      </c>
      <c r="K718" s="28" t="s">
        <v>263</v>
      </c>
    </row>
    <row r="719" spans="3:11" ht="15.5" thickTop="1" thickBot="1" x14ac:dyDescent="0.4">
      <c r="C719" s="26" t="s">
        <v>385</v>
      </c>
      <c r="D719" s="12">
        <v>36431</v>
      </c>
      <c r="E719" s="105" t="str">
        <f>IFERROR(VLOOKUP($D719,NUMDIST[],2,FALSE),"DA Non trouvéé")</f>
        <v>Isiro - MACAMPAGNE</v>
      </c>
      <c r="F719" s="12" t="s">
        <v>262</v>
      </c>
      <c r="G719" s="14" t="s">
        <v>8</v>
      </c>
      <c r="H719" s="13">
        <v>775500</v>
      </c>
      <c r="I719" s="13">
        <v>0</v>
      </c>
      <c r="J719" s="12" t="s">
        <v>254</v>
      </c>
      <c r="K719" s="28" t="s">
        <v>263</v>
      </c>
    </row>
    <row r="720" spans="3:11" ht="15.5" thickTop="1" thickBot="1" x14ac:dyDescent="0.4">
      <c r="C720" s="26" t="s">
        <v>385</v>
      </c>
      <c r="D720" s="12">
        <v>36112</v>
      </c>
      <c r="E720" s="105" t="str">
        <f>IFERROR(VLOOKUP($D720,NUMDIST[],2,FALSE),"DA Non trouvéé")</f>
        <v>SUD KIVU - ETS AGRIPPINE</v>
      </c>
      <c r="F720" s="12" t="s">
        <v>262</v>
      </c>
      <c r="G720" s="14" t="s">
        <v>5</v>
      </c>
      <c r="H720" s="13">
        <v>200000</v>
      </c>
      <c r="I720" s="13">
        <v>0</v>
      </c>
      <c r="J720" s="12" t="s">
        <v>254</v>
      </c>
      <c r="K720" s="28" t="s">
        <v>263</v>
      </c>
    </row>
    <row r="721" spans="3:11" ht="15.5" thickTop="1" thickBot="1" x14ac:dyDescent="0.4">
      <c r="C721" s="26" t="s">
        <v>385</v>
      </c>
      <c r="D721" s="12">
        <v>87012</v>
      </c>
      <c r="E721" s="105" t="str">
        <f>IFERROR(VLOOKUP($D721,NUMDIST[],2,FALSE),"DA Non trouvéé")</f>
        <v>BUNIA - ETS AIGLE</v>
      </c>
      <c r="F721" s="12" t="s">
        <v>262</v>
      </c>
      <c r="G721" s="14" t="s">
        <v>5</v>
      </c>
      <c r="H721" s="13">
        <v>235000</v>
      </c>
      <c r="I721" s="13">
        <v>0</v>
      </c>
      <c r="J721" s="12" t="s">
        <v>254</v>
      </c>
      <c r="K721" s="28" t="s">
        <v>263</v>
      </c>
    </row>
    <row r="722" spans="3:11" ht="15.5" thickTop="1" thickBot="1" x14ac:dyDescent="0.4">
      <c r="C722" s="26" t="s">
        <v>386</v>
      </c>
      <c r="D722" s="12">
        <v>90152</v>
      </c>
      <c r="E722" s="105" t="str">
        <f>IFERROR(VLOOKUP($D722,NUMDIST[],2,FALSE),"DA Non trouvéé")</f>
        <v>BUTEMBO - ETS OIEL DU CIEL</v>
      </c>
      <c r="F722" s="12" t="s">
        <v>262</v>
      </c>
      <c r="G722" s="14" t="s">
        <v>5</v>
      </c>
      <c r="H722" s="13">
        <v>705000</v>
      </c>
      <c r="I722" s="13">
        <v>0</v>
      </c>
      <c r="J722" s="12" t="s">
        <v>254</v>
      </c>
      <c r="K722" s="28" t="s">
        <v>263</v>
      </c>
    </row>
    <row r="723" spans="3:11" ht="15.5" thickTop="1" thickBot="1" x14ac:dyDescent="0.4">
      <c r="C723" s="26" t="s">
        <v>386</v>
      </c>
      <c r="D723" s="12">
        <v>36430</v>
      </c>
      <c r="E723" s="105" t="str">
        <f>IFERROR(VLOOKUP($D723,NUMDIST[],2,FALSE),"DA Non trouvéé")</f>
        <v>Bunia - ETS BOTOAFINE</v>
      </c>
      <c r="F723" s="12" t="s">
        <v>262</v>
      </c>
      <c r="G723" s="14" t="s">
        <v>19</v>
      </c>
      <c r="H723" s="13">
        <v>209000</v>
      </c>
      <c r="I723" s="13">
        <v>0</v>
      </c>
      <c r="J723" s="12" t="s">
        <v>254</v>
      </c>
      <c r="K723" s="28" t="s">
        <v>263</v>
      </c>
    </row>
    <row r="724" spans="3:11" ht="15.5" thickTop="1" thickBot="1" x14ac:dyDescent="0.4">
      <c r="C724" s="26" t="s">
        <v>386</v>
      </c>
      <c r="D724" s="12">
        <v>79743</v>
      </c>
      <c r="E724" s="105" t="str">
        <f>IFERROR(VLOOKUP($D724,NUMDIST[],2,FALSE),"DA Non trouvéé")</f>
        <v>KASINDI - SHOP ROLKO</v>
      </c>
      <c r="F724" s="12" t="s">
        <v>262</v>
      </c>
      <c r="G724" s="14" t="s">
        <v>5</v>
      </c>
      <c r="H724" s="13">
        <v>352500</v>
      </c>
      <c r="I724" s="13">
        <v>0</v>
      </c>
      <c r="J724" s="12" t="s">
        <v>254</v>
      </c>
      <c r="K724" s="28" t="s">
        <v>263</v>
      </c>
    </row>
    <row r="725" spans="3:11" ht="15.5" thickTop="1" thickBot="1" x14ac:dyDescent="0.4">
      <c r="C725" s="26" t="s">
        <v>386</v>
      </c>
      <c r="D725" s="12">
        <v>55349</v>
      </c>
      <c r="E725" s="105" t="str">
        <f>IFERROR(VLOOKUP($D725,NUMDIST[],2,FALSE),"DA Non trouvéé")</f>
        <v>ISIRO - LES AMIS</v>
      </c>
      <c r="F725" s="12" t="s">
        <v>262</v>
      </c>
      <c r="G725" s="14" t="s">
        <v>7</v>
      </c>
      <c r="H725" s="13">
        <v>364250</v>
      </c>
      <c r="I725" s="13">
        <v>0</v>
      </c>
      <c r="J725" s="12" t="s">
        <v>254</v>
      </c>
      <c r="K725" s="28" t="s">
        <v>263</v>
      </c>
    </row>
    <row r="726" spans="3:11" ht="15.5" thickTop="1" thickBot="1" x14ac:dyDescent="0.4">
      <c r="C726" s="29" t="s">
        <v>386</v>
      </c>
      <c r="D726" s="83">
        <v>108506</v>
      </c>
      <c r="E726" s="105" t="str">
        <f>IFERROR(VLOOKUP($D726,NUMDIST[],2,FALSE),"DA Non trouvéé")</f>
        <v>GOMA  JPS SHOP BREM BUSINESS</v>
      </c>
      <c r="F726" s="12" t="s">
        <v>262</v>
      </c>
      <c r="G726" s="31" t="s">
        <v>5</v>
      </c>
      <c r="H726" s="32">
        <v>470000</v>
      </c>
      <c r="I726" s="32">
        <v>0</v>
      </c>
      <c r="J726" s="12" t="s">
        <v>254</v>
      </c>
      <c r="K726" s="28" t="s">
        <v>263</v>
      </c>
    </row>
    <row r="727" spans="3:11" ht="15.5" thickTop="1" thickBot="1" x14ac:dyDescent="0.4">
      <c r="C727" s="26" t="s">
        <v>386</v>
      </c>
      <c r="D727" s="12">
        <v>95817</v>
      </c>
      <c r="E727" s="105" t="str">
        <f>IFERROR(VLOOKUP($D727,NUMDIST[],2,FALSE),"DA Non trouvéé")</f>
        <v>BUNIA - YESU NI JIBU</v>
      </c>
      <c r="F727" s="12" t="s">
        <v>262</v>
      </c>
      <c r="G727" s="14" t="s">
        <v>6</v>
      </c>
      <c r="H727" s="13">
        <v>235000</v>
      </c>
      <c r="I727" s="13">
        <v>0</v>
      </c>
      <c r="J727" s="12" t="s">
        <v>15</v>
      </c>
      <c r="K727" s="28" t="s">
        <v>263</v>
      </c>
    </row>
    <row r="728" spans="3:11" ht="15.5" thickTop="1" thickBot="1" x14ac:dyDescent="0.4">
      <c r="C728" s="26" t="s">
        <v>386</v>
      </c>
      <c r="D728" s="12">
        <v>90164</v>
      </c>
      <c r="E728" s="105" t="str">
        <f>IFERROR(VLOOKUP($D728,NUMDIST[],2,FALSE),"DA Non trouvéé")</f>
        <v>BUNIA - ALPHA SHOP</v>
      </c>
      <c r="F728" s="12" t="s">
        <v>262</v>
      </c>
      <c r="G728" s="14" t="s">
        <v>4</v>
      </c>
      <c r="H728" s="13">
        <v>470000</v>
      </c>
      <c r="I728" s="13">
        <v>0</v>
      </c>
      <c r="J728" s="12" t="s">
        <v>254</v>
      </c>
      <c r="K728" s="28" t="s">
        <v>263</v>
      </c>
    </row>
    <row r="729" spans="3:11" ht="15.5" thickTop="1" thickBot="1" x14ac:dyDescent="0.4">
      <c r="C729" s="26" t="s">
        <v>386</v>
      </c>
      <c r="D729" s="12">
        <v>90174</v>
      </c>
      <c r="E729" s="105" t="str">
        <f>IFERROR(VLOOKUP($D729,NUMDIST[],2,FALSE),"DA Non trouvéé")</f>
        <v>MAHAGI - ETS JACQUES PLUS</v>
      </c>
      <c r="F729" s="12" t="s">
        <v>262</v>
      </c>
      <c r="G729" s="14" t="s">
        <v>4</v>
      </c>
      <c r="H729" s="13">
        <v>250000</v>
      </c>
      <c r="I729" s="13">
        <v>0</v>
      </c>
      <c r="J729" s="12" t="s">
        <v>254</v>
      </c>
      <c r="K729" s="28" t="s">
        <v>263</v>
      </c>
    </row>
    <row r="730" spans="3:11" ht="15.5" thickTop="1" thickBot="1" x14ac:dyDescent="0.4">
      <c r="C730" s="26" t="s">
        <v>386</v>
      </c>
      <c r="D730" s="12">
        <v>92117</v>
      </c>
      <c r="E730" s="105" t="str">
        <f>IFERROR(VLOOKUP($D730,NUMDIST[],2,FALSE),"DA Non trouvéé")</f>
        <v>KISANGANI - STAFF FLORY</v>
      </c>
      <c r="F730" s="12" t="s">
        <v>262</v>
      </c>
      <c r="G730" s="14" t="s">
        <v>7</v>
      </c>
      <c r="H730" s="13">
        <v>1057500</v>
      </c>
      <c r="I730" s="13">
        <v>0</v>
      </c>
      <c r="J730" s="12" t="s">
        <v>254</v>
      </c>
      <c r="K730" s="28" t="s">
        <v>263</v>
      </c>
    </row>
    <row r="731" spans="3:11" ht="15.5" thickTop="1" thickBot="1" x14ac:dyDescent="0.4">
      <c r="C731" s="26" t="s">
        <v>386</v>
      </c>
      <c r="D731" s="81">
        <v>108512</v>
      </c>
      <c r="E731" s="105" t="str">
        <f>IFERROR(VLOOKUP($D731,NUMDIST[],2,FALSE),"DA Non trouvéé")</f>
        <v>ARIWARA JPS SHOP EBENEZER</v>
      </c>
      <c r="F731" s="12" t="s">
        <v>262</v>
      </c>
      <c r="G731" s="14" t="s">
        <v>7</v>
      </c>
      <c r="H731" s="13">
        <v>470000</v>
      </c>
      <c r="I731" s="13">
        <v>0</v>
      </c>
      <c r="J731" s="12" t="s">
        <v>254</v>
      </c>
      <c r="K731" s="28" t="s">
        <v>263</v>
      </c>
    </row>
    <row r="732" spans="3:11" ht="15.5" thickTop="1" thickBot="1" x14ac:dyDescent="0.4">
      <c r="C732" s="26" t="s">
        <v>386</v>
      </c>
      <c r="D732" s="12">
        <v>95823</v>
      </c>
      <c r="E732" s="105" t="str">
        <f>IFERROR(VLOOKUP($D732,NUMDIST[],2,FALSE),"DA Non trouvéé")</f>
        <v>BUNIA - ETS CANAL BIA</v>
      </c>
      <c r="F732" s="12" t="s">
        <v>262</v>
      </c>
      <c r="G732" s="14" t="s">
        <v>19</v>
      </c>
      <c r="H732" s="13">
        <v>235000</v>
      </c>
      <c r="I732" s="13">
        <v>0</v>
      </c>
      <c r="J732" s="12" t="s">
        <v>254</v>
      </c>
      <c r="K732" s="28" t="s">
        <v>263</v>
      </c>
    </row>
    <row r="733" spans="3:11" ht="15.5" thickTop="1" thickBot="1" x14ac:dyDescent="0.4">
      <c r="C733" s="26" t="s">
        <v>386</v>
      </c>
      <c r="D733" s="12">
        <v>93942</v>
      </c>
      <c r="E733" s="105" t="str">
        <f>IFERROR(VLOOKUP($D733,NUMDIST[],2,FALSE),"DA Non trouvéé")</f>
        <v>BUNIA - ETS SAIDI</v>
      </c>
      <c r="F733" s="12" t="s">
        <v>262</v>
      </c>
      <c r="G733" s="14" t="s">
        <v>19</v>
      </c>
      <c r="H733" s="13">
        <v>235000</v>
      </c>
      <c r="I733" s="13">
        <v>0</v>
      </c>
      <c r="J733" s="12" t="s">
        <v>254</v>
      </c>
      <c r="K733" s="28" t="s">
        <v>263</v>
      </c>
    </row>
    <row r="734" spans="3:11" ht="15.5" thickTop="1" thickBot="1" x14ac:dyDescent="0.4">
      <c r="C734" s="26" t="s">
        <v>386</v>
      </c>
      <c r="D734" s="81">
        <v>108507</v>
      </c>
      <c r="E734" s="105" t="str">
        <f>IFERROR(VLOOKUP($D734,NUMDIST[],2,FALSE),"DA Non trouvéé")</f>
        <v>BUKAVU JPS CANAL + RETI - RADA</v>
      </c>
      <c r="F734" s="12" t="s">
        <v>262</v>
      </c>
      <c r="G734" s="14" t="s">
        <v>5</v>
      </c>
      <c r="H734" s="13">
        <v>235000</v>
      </c>
      <c r="I734" s="13">
        <v>0</v>
      </c>
      <c r="J734" s="12" t="s">
        <v>254</v>
      </c>
      <c r="K734" s="28" t="s">
        <v>263</v>
      </c>
    </row>
    <row r="735" spans="3:11" ht="15.5" thickTop="1" thickBot="1" x14ac:dyDescent="0.4">
      <c r="C735" s="26" t="s">
        <v>386</v>
      </c>
      <c r="D735" s="12">
        <v>42153</v>
      </c>
      <c r="E735" s="105" t="str">
        <f>IFERROR(VLOOKUP($D735,NUMDIST[],2,FALSE),"DA Non trouvéé")</f>
        <v>BUNIA - ETS SALEM</v>
      </c>
      <c r="F735" s="12" t="s">
        <v>262</v>
      </c>
      <c r="G735" s="14" t="s">
        <v>5</v>
      </c>
      <c r="H735" s="13">
        <v>470000</v>
      </c>
      <c r="I735" s="13">
        <v>0</v>
      </c>
      <c r="J735" s="12" t="s">
        <v>254</v>
      </c>
      <c r="K735" s="28" t="s">
        <v>263</v>
      </c>
    </row>
    <row r="736" spans="3:11" ht="15.5" thickTop="1" thickBot="1" x14ac:dyDescent="0.4">
      <c r="C736" s="26" t="s">
        <v>386</v>
      </c>
      <c r="D736" s="12">
        <v>71087</v>
      </c>
      <c r="E736" s="105" t="str">
        <f>IFERROR(VLOOKUP($D736,NUMDIST[],2,FALSE),"DA Non trouvéé")</f>
        <v>ETS CALIFORNIE</v>
      </c>
      <c r="F736" s="12" t="s">
        <v>262</v>
      </c>
      <c r="G736" s="14" t="s">
        <v>19</v>
      </c>
      <c r="H736" s="13">
        <v>235000</v>
      </c>
      <c r="I736" s="13">
        <v>0</v>
      </c>
      <c r="J736" s="12" t="s">
        <v>254</v>
      </c>
      <c r="K736" s="28" t="s">
        <v>263</v>
      </c>
    </row>
    <row r="737" spans="3:11" ht="15.5" thickTop="1" thickBot="1" x14ac:dyDescent="0.4">
      <c r="C737" s="26" t="s">
        <v>386</v>
      </c>
      <c r="D737" s="12">
        <v>85827</v>
      </c>
      <c r="E737" s="105" t="str">
        <f>IFERROR(VLOOKUP($D737,NUMDIST[],2,FALSE),"DA Non trouvéé")</f>
        <v>KISANGANI - SHOP LA GRACE</v>
      </c>
      <c r="F737" s="12" t="s">
        <v>262</v>
      </c>
      <c r="G737" s="14" t="s">
        <v>4</v>
      </c>
      <c r="H737" s="13">
        <v>728500</v>
      </c>
      <c r="I737" s="13">
        <v>0</v>
      </c>
      <c r="J737" s="12" t="s">
        <v>254</v>
      </c>
      <c r="K737" s="28" t="s">
        <v>263</v>
      </c>
    </row>
    <row r="738" spans="3:11" ht="15.5" thickTop="1" thickBot="1" x14ac:dyDescent="0.4">
      <c r="C738" s="26" t="s">
        <v>386</v>
      </c>
      <c r="D738" s="12">
        <v>99337</v>
      </c>
      <c r="E738" s="105" t="str">
        <f>IFERROR(VLOOKUP($D738,NUMDIST[],2,FALSE),"DA Non trouvéé")</f>
        <v>ISIRO - SHOP CHARA HOUSE</v>
      </c>
      <c r="F738" s="12" t="s">
        <v>262</v>
      </c>
      <c r="G738" s="14" t="s">
        <v>8</v>
      </c>
      <c r="H738" s="13">
        <v>1186750</v>
      </c>
      <c r="I738" s="13">
        <v>0</v>
      </c>
      <c r="J738" s="12" t="s">
        <v>254</v>
      </c>
      <c r="K738" s="28" t="s">
        <v>263</v>
      </c>
    </row>
    <row r="739" spans="3:11" ht="15.5" thickTop="1" thickBot="1" x14ac:dyDescent="0.4">
      <c r="C739" s="26" t="s">
        <v>386</v>
      </c>
      <c r="D739" s="12">
        <v>36710</v>
      </c>
      <c r="E739" s="105" t="str">
        <f>IFERROR(VLOOKUP($D739,NUMDIST[],2,FALSE),"DA Non trouvéé")</f>
        <v>BUNIA - BOUTIQUE JPS DM</v>
      </c>
      <c r="F739" s="12" t="s">
        <v>262</v>
      </c>
      <c r="G739" s="14" t="s">
        <v>19</v>
      </c>
      <c r="H739" s="13">
        <v>1976400</v>
      </c>
      <c r="I739" s="13">
        <v>0</v>
      </c>
      <c r="J739" s="12" t="s">
        <v>254</v>
      </c>
      <c r="K739" s="28" t="s">
        <v>263</v>
      </c>
    </row>
    <row r="740" spans="3:11" ht="15.5" thickTop="1" thickBot="1" x14ac:dyDescent="0.4">
      <c r="C740" s="26" t="s">
        <v>386</v>
      </c>
      <c r="D740" s="12">
        <v>34597</v>
      </c>
      <c r="E740" s="105" t="str">
        <f>IFERROR(VLOOKUP($D740,NUMDIST[],2,FALSE),"DA Non trouvéé")</f>
        <v>ETABLISSEMENT-  JPS DM BIGO</v>
      </c>
      <c r="F740" s="12" t="s">
        <v>262</v>
      </c>
      <c r="G740" s="14" t="s">
        <v>7</v>
      </c>
      <c r="H740" s="13">
        <v>517000</v>
      </c>
      <c r="I740" s="13">
        <v>0</v>
      </c>
      <c r="J740" s="12" t="s">
        <v>254</v>
      </c>
      <c r="K740" s="28" t="s">
        <v>263</v>
      </c>
    </row>
    <row r="741" spans="3:11" ht="15.5" thickTop="1" thickBot="1" x14ac:dyDescent="0.4">
      <c r="C741" s="26" t="s">
        <v>386</v>
      </c>
      <c r="D741" s="12">
        <v>105533</v>
      </c>
      <c r="E741" s="105" t="str">
        <f>IFERROR(VLOOKUP($D741,NUMDIST[],2,FALSE),"DA Non trouvéé")</f>
        <v>BUNIA - SHOP LA SIMPLICITE</v>
      </c>
      <c r="F741" s="12" t="s">
        <v>262</v>
      </c>
      <c r="G741" s="14" t="s">
        <v>4</v>
      </c>
      <c r="H741" s="13">
        <v>1300000</v>
      </c>
      <c r="I741" s="13">
        <v>0</v>
      </c>
      <c r="J741" s="12" t="s">
        <v>254</v>
      </c>
      <c r="K741" s="28" t="s">
        <v>263</v>
      </c>
    </row>
    <row r="742" spans="3:11" ht="15.5" thickTop="1" thickBot="1" x14ac:dyDescent="0.4">
      <c r="C742" s="26" t="s">
        <v>387</v>
      </c>
      <c r="D742" s="12">
        <v>90192</v>
      </c>
      <c r="E742" s="105" t="str">
        <f>IFERROR(VLOOKUP($D742,NUMDIST[],2,FALSE),"DA Non trouvéé")</f>
        <v>BUKAVU - ETS LA GLOIRE</v>
      </c>
      <c r="F742" s="12" t="s">
        <v>262</v>
      </c>
      <c r="G742" s="14" t="s">
        <v>5</v>
      </c>
      <c r="H742" s="13">
        <v>246750</v>
      </c>
      <c r="I742" s="13">
        <v>0</v>
      </c>
      <c r="J742" s="12" t="s">
        <v>254</v>
      </c>
      <c r="K742" s="28" t="s">
        <v>263</v>
      </c>
    </row>
    <row r="743" spans="3:11" ht="15.5" thickTop="1" thickBot="1" x14ac:dyDescent="0.4">
      <c r="C743" s="26" t="s">
        <v>387</v>
      </c>
      <c r="D743" s="12">
        <v>36112</v>
      </c>
      <c r="E743" s="105" t="str">
        <f>IFERROR(VLOOKUP($D743,NUMDIST[],2,FALSE),"DA Non trouvéé")</f>
        <v>SUD KIVU - ETS AGRIPPINE</v>
      </c>
      <c r="F743" s="12" t="s">
        <v>262</v>
      </c>
      <c r="G743" s="14" t="s">
        <v>4</v>
      </c>
      <c r="H743" s="13">
        <v>200000</v>
      </c>
      <c r="I743" s="13">
        <v>0</v>
      </c>
      <c r="J743" s="12" t="s">
        <v>254</v>
      </c>
      <c r="K743" s="28" t="s">
        <v>263</v>
      </c>
    </row>
    <row r="744" spans="3:11" ht="15.5" thickTop="1" thickBot="1" x14ac:dyDescent="0.4">
      <c r="C744" s="26" t="s">
        <v>387</v>
      </c>
      <c r="D744" s="12">
        <v>36430</v>
      </c>
      <c r="E744" s="105" t="str">
        <f>IFERROR(VLOOKUP($D744,NUMDIST[],2,FALSE),"DA Non trouvéé")</f>
        <v>Bunia - ETS BOTOAFINE</v>
      </c>
      <c r="F744" s="12" t="s">
        <v>262</v>
      </c>
      <c r="G744" s="14" t="s">
        <v>19</v>
      </c>
      <c r="H744" s="13">
        <v>177000</v>
      </c>
      <c r="I744" s="13">
        <v>0</v>
      </c>
      <c r="J744" s="12" t="s">
        <v>254</v>
      </c>
      <c r="K744" s="28" t="s">
        <v>263</v>
      </c>
    </row>
    <row r="745" spans="3:11" ht="15.5" thickTop="1" thickBot="1" x14ac:dyDescent="0.4">
      <c r="C745" s="26" t="s">
        <v>387</v>
      </c>
      <c r="D745" s="12">
        <v>36433</v>
      </c>
      <c r="E745" s="105" t="str">
        <f>IFERROR(VLOOKUP($D745,NUMDIST[],2,FALSE),"DA Non trouvéé")</f>
        <v>BUNIA - CHEZ JUSTIN</v>
      </c>
      <c r="F745" s="12" t="s">
        <v>262</v>
      </c>
      <c r="G745" s="14" t="s">
        <v>7</v>
      </c>
      <c r="H745" s="13">
        <v>1175000</v>
      </c>
      <c r="I745" s="13">
        <v>0</v>
      </c>
      <c r="J745" s="12" t="s">
        <v>254</v>
      </c>
      <c r="K745" s="28" t="s">
        <v>263</v>
      </c>
    </row>
    <row r="746" spans="3:11" ht="15.5" thickTop="1" thickBot="1" x14ac:dyDescent="0.4">
      <c r="C746" s="26" t="s">
        <v>387</v>
      </c>
      <c r="D746" s="12">
        <v>41317</v>
      </c>
      <c r="E746" s="105" t="str">
        <f>IFERROR(VLOOKUP($D746,NUMDIST[],2,FALSE),"DA Non trouvéé")</f>
        <v>Bukavu - Ets JPS DM BUKAVU</v>
      </c>
      <c r="F746" s="12" t="s">
        <v>262</v>
      </c>
      <c r="G746" s="14" t="s">
        <v>5</v>
      </c>
      <c r="H746" s="13">
        <v>298450</v>
      </c>
      <c r="I746" s="13">
        <v>0</v>
      </c>
      <c r="J746" s="12" t="s">
        <v>254</v>
      </c>
      <c r="K746" s="28" t="s">
        <v>263</v>
      </c>
    </row>
    <row r="747" spans="3:11" ht="15.5" thickTop="1" thickBot="1" x14ac:dyDescent="0.4">
      <c r="C747" s="26" t="s">
        <v>387</v>
      </c>
      <c r="D747" s="12">
        <v>55351</v>
      </c>
      <c r="E747" s="105" t="str">
        <f>IFERROR(VLOOKUP($D747,NUMDIST[],2,FALSE),"DA Non trouvéé")</f>
        <v>ITURI - PARADOXE BUSINESS</v>
      </c>
      <c r="F747" s="12" t="s">
        <v>262</v>
      </c>
      <c r="G747" s="14" t="s">
        <v>8</v>
      </c>
      <c r="H747" s="13">
        <v>470000</v>
      </c>
      <c r="I747" s="13">
        <v>0</v>
      </c>
      <c r="J747" s="12" t="s">
        <v>254</v>
      </c>
      <c r="K747" s="28" t="s">
        <v>263</v>
      </c>
    </row>
    <row r="748" spans="3:11" ht="15.5" thickTop="1" thickBot="1" x14ac:dyDescent="0.4">
      <c r="C748" s="26" t="s">
        <v>387</v>
      </c>
      <c r="D748" s="12">
        <v>79743</v>
      </c>
      <c r="E748" s="105" t="str">
        <f>IFERROR(VLOOKUP($D748,NUMDIST[],2,FALSE),"DA Non trouvéé")</f>
        <v>KASINDI - SHOP ROLKO</v>
      </c>
      <c r="F748" s="12" t="s">
        <v>262</v>
      </c>
      <c r="G748" s="14" t="s">
        <v>5</v>
      </c>
      <c r="H748" s="13">
        <v>246750</v>
      </c>
      <c r="I748" s="13">
        <v>0</v>
      </c>
      <c r="J748" s="12" t="s">
        <v>254</v>
      </c>
      <c r="K748" s="28" t="s">
        <v>263</v>
      </c>
    </row>
    <row r="749" spans="3:11" ht="15.5" thickTop="1" thickBot="1" x14ac:dyDescent="0.4">
      <c r="C749" s="26" t="s">
        <v>387</v>
      </c>
      <c r="D749" s="12">
        <v>85827</v>
      </c>
      <c r="E749" s="105" t="str">
        <f>IFERROR(VLOOKUP($D749,NUMDIST[],2,FALSE),"DA Non trouvéé")</f>
        <v>KISANGANI - SHOP LA GRACE</v>
      </c>
      <c r="F749" s="12" t="s">
        <v>262</v>
      </c>
      <c r="G749" s="14" t="s">
        <v>5</v>
      </c>
      <c r="H749" s="13">
        <v>893000</v>
      </c>
      <c r="I749" s="13">
        <v>0</v>
      </c>
      <c r="J749" s="12" t="s">
        <v>254</v>
      </c>
      <c r="K749" s="28" t="s">
        <v>263</v>
      </c>
    </row>
    <row r="750" spans="3:11" ht="15.5" thickTop="1" thickBot="1" x14ac:dyDescent="0.4">
      <c r="C750" s="26" t="s">
        <v>387</v>
      </c>
      <c r="D750" s="12">
        <v>90173</v>
      </c>
      <c r="E750" s="105" t="str">
        <f>IFERROR(VLOOKUP($D750,NUMDIST[],2,FALSE),"DA Non trouvéé")</f>
        <v>BUNIA - ZI BUSINESS</v>
      </c>
      <c r="F750" s="12" t="s">
        <v>262</v>
      </c>
      <c r="G750" s="14" t="s">
        <v>19</v>
      </c>
      <c r="H750" s="13">
        <v>275000</v>
      </c>
      <c r="I750" s="13">
        <v>0</v>
      </c>
      <c r="J750" s="12" t="s">
        <v>254</v>
      </c>
      <c r="K750" s="28" t="s">
        <v>263</v>
      </c>
    </row>
    <row r="751" spans="3:11" ht="15.5" thickTop="1" thickBot="1" x14ac:dyDescent="0.4">
      <c r="C751" s="26" t="s">
        <v>387</v>
      </c>
      <c r="D751" s="12">
        <v>36710</v>
      </c>
      <c r="E751" s="105" t="str">
        <f>IFERROR(VLOOKUP($D751,NUMDIST[],2,FALSE),"DA Non trouvéé")</f>
        <v>BUNIA - BOUTIQUE JPS DM</v>
      </c>
      <c r="F751" s="12" t="s">
        <v>262</v>
      </c>
      <c r="G751" s="14" t="s">
        <v>19</v>
      </c>
      <c r="H751" s="13">
        <v>2114000</v>
      </c>
      <c r="I751" s="13">
        <v>0</v>
      </c>
      <c r="J751" s="12" t="s">
        <v>254</v>
      </c>
      <c r="K751" s="28" t="s">
        <v>263</v>
      </c>
    </row>
    <row r="752" spans="3:11" ht="15.5" thickTop="1" thickBot="1" x14ac:dyDescent="0.4">
      <c r="C752" s="26" t="s">
        <v>387</v>
      </c>
      <c r="D752" s="12">
        <v>42152</v>
      </c>
      <c r="E752" s="105" t="str">
        <f>IFERROR(VLOOKUP($D752,NUMDIST[],2,FALSE),"DA Non trouvéé")</f>
        <v>Bunia - Ets SKY</v>
      </c>
      <c r="F752" s="12" t="s">
        <v>262</v>
      </c>
      <c r="G752" s="14" t="s">
        <v>10</v>
      </c>
      <c r="H752" s="13">
        <v>885000</v>
      </c>
      <c r="I752" s="13">
        <v>0</v>
      </c>
      <c r="J752" s="12" t="s">
        <v>254</v>
      </c>
      <c r="K752" s="28" t="s">
        <v>263</v>
      </c>
    </row>
    <row r="753" spans="3:11" ht="15.5" thickTop="1" thickBot="1" x14ac:dyDescent="0.4">
      <c r="C753" s="26" t="s">
        <v>387</v>
      </c>
      <c r="D753" s="12">
        <v>99337</v>
      </c>
      <c r="E753" s="105" t="str">
        <f>IFERROR(VLOOKUP($D753,NUMDIST[],2,FALSE),"DA Non trouvéé")</f>
        <v>ISIRO - SHOP CHARA HOUSE</v>
      </c>
      <c r="F753" s="12" t="s">
        <v>262</v>
      </c>
      <c r="G753" s="14" t="s">
        <v>8</v>
      </c>
      <c r="H753" s="13">
        <v>345450</v>
      </c>
      <c r="I753" s="13">
        <v>0</v>
      </c>
      <c r="J753" s="12" t="s">
        <v>254</v>
      </c>
      <c r="K753" s="28" t="s">
        <v>263</v>
      </c>
    </row>
    <row r="754" spans="3:11" ht="15.5" thickTop="1" thickBot="1" x14ac:dyDescent="0.4">
      <c r="C754" s="26" t="s">
        <v>387</v>
      </c>
      <c r="D754" s="12">
        <v>34597</v>
      </c>
      <c r="E754" s="105" t="str">
        <f>IFERROR(VLOOKUP($D754,NUMDIST[],2,FALSE),"DA Non trouvéé")</f>
        <v>ETABLISSEMENT-  JPS DM BIGO</v>
      </c>
      <c r="F754" s="12" t="s">
        <v>262</v>
      </c>
      <c r="G754" s="14" t="s">
        <v>7</v>
      </c>
      <c r="H754" s="13">
        <v>440500</v>
      </c>
      <c r="I754" s="13">
        <v>0</v>
      </c>
      <c r="J754" s="12" t="s">
        <v>254</v>
      </c>
      <c r="K754" s="28" t="s">
        <v>263</v>
      </c>
    </row>
    <row r="755" spans="3:11" ht="15.5" thickTop="1" thickBot="1" x14ac:dyDescent="0.4">
      <c r="C755" s="26" t="s">
        <v>387</v>
      </c>
      <c r="D755" s="12">
        <v>96213</v>
      </c>
      <c r="E755" s="105" t="str">
        <f>IFERROR(VLOOKUP($D755,NUMDIST[],2,FALSE),"DA Non trouvéé")</f>
        <v>KOMANDA - ETS NELKASI</v>
      </c>
      <c r="F755" s="12" t="s">
        <v>262</v>
      </c>
      <c r="G755" s="14" t="s">
        <v>5</v>
      </c>
      <c r="H755" s="13">
        <v>164500</v>
      </c>
      <c r="I755" s="13">
        <v>0</v>
      </c>
      <c r="J755" s="12" t="s">
        <v>254</v>
      </c>
      <c r="K755" s="28" t="s">
        <v>263</v>
      </c>
    </row>
    <row r="756" spans="3:11" ht="15.5" thickTop="1" thickBot="1" x14ac:dyDescent="0.4">
      <c r="C756" s="26" t="s">
        <v>387</v>
      </c>
      <c r="D756" s="12">
        <v>80558</v>
      </c>
      <c r="E756" s="105" t="str">
        <f>IFERROR(VLOOKUP($D756,NUMDIST[],2,FALSE),"DA Non trouvéé")</f>
        <v>KALEMIE - SATELLITE</v>
      </c>
      <c r="F756" s="12" t="s">
        <v>262</v>
      </c>
      <c r="G756" s="14" t="s">
        <v>7</v>
      </c>
      <c r="H756" s="13">
        <v>352500</v>
      </c>
      <c r="I756" s="13">
        <v>0</v>
      </c>
      <c r="J756" s="12" t="s">
        <v>254</v>
      </c>
      <c r="K756" s="28" t="s">
        <v>263</v>
      </c>
    </row>
    <row r="757" spans="3:11" ht="15.5" thickTop="1" thickBot="1" x14ac:dyDescent="0.4">
      <c r="C757" s="26" t="s">
        <v>387</v>
      </c>
      <c r="D757" s="12">
        <v>36272</v>
      </c>
      <c r="E757" s="105" t="str">
        <f>IFERROR(VLOOKUP($D757,NUMDIST[],2,FALSE),"DA Non trouvéé")</f>
        <v>BUNIA - JPS DM</v>
      </c>
      <c r="F757" s="12" t="s">
        <v>273</v>
      </c>
      <c r="G757" s="14" t="s">
        <v>7</v>
      </c>
      <c r="H757" s="13">
        <v>0</v>
      </c>
      <c r="I757" s="13">
        <v>23735000</v>
      </c>
      <c r="J757" s="12" t="s">
        <v>254</v>
      </c>
      <c r="K757" s="28" t="s">
        <v>276</v>
      </c>
    </row>
    <row r="758" spans="3:11" ht="15.5" thickTop="1" thickBot="1" x14ac:dyDescent="0.4">
      <c r="C758" s="26" t="s">
        <v>388</v>
      </c>
      <c r="D758" s="12">
        <v>55349</v>
      </c>
      <c r="E758" s="105" t="str">
        <f>IFERROR(VLOOKUP($D758,NUMDIST[],2,FALSE),"DA Non trouvéé")</f>
        <v>ISIRO - LES AMIS</v>
      </c>
      <c r="F758" s="12" t="s">
        <v>262</v>
      </c>
      <c r="G758" s="14" t="s">
        <v>7</v>
      </c>
      <c r="H758" s="13">
        <v>305500</v>
      </c>
      <c r="I758" s="13">
        <v>0</v>
      </c>
      <c r="J758" s="12" t="s">
        <v>254</v>
      </c>
      <c r="K758" s="28" t="s">
        <v>263</v>
      </c>
    </row>
    <row r="759" spans="3:11" ht="15.5" thickTop="1" thickBot="1" x14ac:dyDescent="0.4">
      <c r="C759" s="26" t="s">
        <v>388</v>
      </c>
      <c r="D759" s="12">
        <v>95823</v>
      </c>
      <c r="E759" s="105" t="str">
        <f>IFERROR(VLOOKUP($D759,NUMDIST[],2,FALSE),"DA Non trouvéé")</f>
        <v>BUNIA - ETS CANAL BIA</v>
      </c>
      <c r="F759" s="12" t="s">
        <v>262</v>
      </c>
      <c r="G759" s="14" t="s">
        <v>19</v>
      </c>
      <c r="H759" s="13">
        <v>235000</v>
      </c>
      <c r="I759" s="13">
        <v>0</v>
      </c>
      <c r="J759" s="12" t="s">
        <v>254</v>
      </c>
      <c r="K759" s="28" t="s">
        <v>263</v>
      </c>
    </row>
    <row r="760" spans="3:11" ht="15.5" thickTop="1" thickBot="1" x14ac:dyDescent="0.4">
      <c r="C760" s="26" t="s">
        <v>388</v>
      </c>
      <c r="D760" s="12">
        <v>95818</v>
      </c>
      <c r="E760" s="105" t="str">
        <f>IFERROR(VLOOKUP($D760,NUMDIST[],2,FALSE),"DA Non trouvéé")</f>
        <v>BUNIA - SHOP BLESSING</v>
      </c>
      <c r="F760" s="12" t="s">
        <v>262</v>
      </c>
      <c r="G760" s="14" t="s">
        <v>19</v>
      </c>
      <c r="H760" s="13">
        <v>235000</v>
      </c>
      <c r="I760" s="13">
        <v>0</v>
      </c>
      <c r="J760" s="12" t="s">
        <v>15</v>
      </c>
      <c r="K760" s="28" t="s">
        <v>263</v>
      </c>
    </row>
    <row r="761" spans="3:11" ht="15.5" thickTop="1" thickBot="1" x14ac:dyDescent="0.4">
      <c r="C761" s="26" t="s">
        <v>388</v>
      </c>
      <c r="D761" s="12">
        <v>79743</v>
      </c>
      <c r="E761" s="105" t="str">
        <f>IFERROR(VLOOKUP($D761,NUMDIST[],2,FALSE),"DA Non trouvéé")</f>
        <v>KASINDI - SHOP ROLKO</v>
      </c>
      <c r="F761" s="12" t="s">
        <v>262</v>
      </c>
      <c r="G761" s="14" t="s">
        <v>5</v>
      </c>
      <c r="H761" s="13">
        <v>246750</v>
      </c>
      <c r="I761" s="13">
        <v>0</v>
      </c>
      <c r="J761" s="12" t="s">
        <v>254</v>
      </c>
      <c r="K761" s="28" t="s">
        <v>263</v>
      </c>
    </row>
    <row r="762" spans="3:11" ht="15.5" thickTop="1" thickBot="1" x14ac:dyDescent="0.4">
      <c r="C762" s="26" t="s">
        <v>388</v>
      </c>
      <c r="D762" s="12">
        <v>103992</v>
      </c>
      <c r="E762" s="105" t="str">
        <f>IFERROR(VLOOKUP($D762,NUMDIST[],2,FALSE),"DA Non trouvéé")</f>
        <v>ETABLISEMENT ESPOIR BUSINESS</v>
      </c>
      <c r="F762" s="12" t="s">
        <v>262</v>
      </c>
      <c r="G762" s="14" t="s">
        <v>5</v>
      </c>
      <c r="H762" s="13">
        <v>705000</v>
      </c>
      <c r="I762" s="13">
        <v>0</v>
      </c>
      <c r="J762" s="12" t="s">
        <v>254</v>
      </c>
      <c r="K762" s="28" t="s">
        <v>263</v>
      </c>
    </row>
    <row r="763" spans="3:11" ht="15.5" thickTop="1" thickBot="1" x14ac:dyDescent="0.4">
      <c r="C763" s="26" t="s">
        <v>388</v>
      </c>
      <c r="D763" s="12">
        <v>104788</v>
      </c>
      <c r="E763" s="105" t="str">
        <f>IFERROR(VLOOKUP($D763,NUMDIST[],2,FALSE),"DA Non trouvéé")</f>
        <v>BUNIA - ETS DON DE DIEU</v>
      </c>
      <c r="F763" s="12" t="s">
        <v>262</v>
      </c>
      <c r="G763" s="14" t="s">
        <v>19</v>
      </c>
      <c r="H763" s="13">
        <v>235000</v>
      </c>
      <c r="I763" s="13">
        <v>0</v>
      </c>
      <c r="J763" s="12" t="s">
        <v>254</v>
      </c>
      <c r="K763" s="28" t="s">
        <v>263</v>
      </c>
    </row>
    <row r="764" spans="3:11" ht="15.5" thickTop="1" thickBot="1" x14ac:dyDescent="0.4">
      <c r="C764" s="26" t="s">
        <v>388</v>
      </c>
      <c r="D764" s="12">
        <v>92119</v>
      </c>
      <c r="E764" s="105" t="str">
        <f>IFERROR(VLOOKUP($D764,NUMDIST[],2,FALSE),"DA Non trouvéé")</f>
        <v>ISIRO - HADASSA BUSINESS</v>
      </c>
      <c r="F764" s="12" t="s">
        <v>262</v>
      </c>
      <c r="G764" s="14" t="s">
        <v>7</v>
      </c>
      <c r="H764" s="13">
        <v>166850</v>
      </c>
      <c r="I764" s="13">
        <v>0</v>
      </c>
      <c r="J764" s="12" t="s">
        <v>254</v>
      </c>
      <c r="K764" s="28" t="s">
        <v>263</v>
      </c>
    </row>
    <row r="765" spans="3:11" ht="15.5" thickTop="1" thickBot="1" x14ac:dyDescent="0.4">
      <c r="C765" s="26" t="s">
        <v>388</v>
      </c>
      <c r="D765" s="12">
        <v>92119</v>
      </c>
      <c r="E765" s="105" t="str">
        <f>IFERROR(VLOOKUP($D765,NUMDIST[],2,FALSE),"DA Non trouvéé")</f>
        <v>ISIRO - HADASSA BUSINESS</v>
      </c>
      <c r="F765" s="12" t="s">
        <v>262</v>
      </c>
      <c r="G765" s="14" t="s">
        <v>5</v>
      </c>
      <c r="H765" s="13">
        <v>303150</v>
      </c>
      <c r="I765" s="13">
        <v>0</v>
      </c>
      <c r="J765" s="12" t="s">
        <v>254</v>
      </c>
      <c r="K765" s="28" t="s">
        <v>263</v>
      </c>
    </row>
    <row r="766" spans="3:11" ht="15.5" thickTop="1" thickBot="1" x14ac:dyDescent="0.4">
      <c r="C766" s="26" t="s">
        <v>388</v>
      </c>
      <c r="D766" s="12">
        <v>87013</v>
      </c>
      <c r="E766" s="105" t="str">
        <f>IFERROR(VLOOKUP($D766,NUMDIST[],2,FALSE),"DA Non trouvéé")</f>
        <v>BUNIA - JC SANS TACHES</v>
      </c>
      <c r="F766" s="12" t="s">
        <v>262</v>
      </c>
      <c r="G766" s="14" t="s">
        <v>4</v>
      </c>
      <c r="H766" s="13">
        <v>359550</v>
      </c>
      <c r="I766" s="13">
        <v>0</v>
      </c>
      <c r="J766" s="12" t="s">
        <v>254</v>
      </c>
      <c r="K766" s="28" t="s">
        <v>263</v>
      </c>
    </row>
    <row r="767" spans="3:11" ht="15.5" thickTop="1" thickBot="1" x14ac:dyDescent="0.4">
      <c r="C767" s="26" t="s">
        <v>388</v>
      </c>
      <c r="D767" s="12">
        <v>71084</v>
      </c>
      <c r="E767" s="105" t="str">
        <f>IFERROR(VLOOKUP($D767,NUMDIST[],2,FALSE),"DA Non trouvéé")</f>
        <v>DURBA - Ets HUSSUMA BUSINESS</v>
      </c>
      <c r="F767" s="12" t="s">
        <v>262</v>
      </c>
      <c r="G767" s="14" t="s">
        <v>6</v>
      </c>
      <c r="H767" s="13">
        <v>5000000</v>
      </c>
      <c r="I767" s="13">
        <v>0</v>
      </c>
      <c r="J767" s="12" t="s">
        <v>15</v>
      </c>
      <c r="K767" s="28" t="s">
        <v>263</v>
      </c>
    </row>
    <row r="768" spans="3:11" ht="15.5" thickTop="1" thickBot="1" x14ac:dyDescent="0.4">
      <c r="C768" s="26" t="s">
        <v>388</v>
      </c>
      <c r="D768" s="12">
        <v>84318</v>
      </c>
      <c r="E768" s="105" t="str">
        <f>IFERROR(VLOOKUP($D768,NUMDIST[],2,FALSE),"DA Non trouvéé")</f>
        <v>BUTEMBO - FONDATION RUMY</v>
      </c>
      <c r="F768" s="12" t="s">
        <v>262</v>
      </c>
      <c r="G768" s="14" t="s">
        <v>7</v>
      </c>
      <c r="H768" s="13">
        <v>235000</v>
      </c>
      <c r="I768" s="13">
        <v>0</v>
      </c>
      <c r="J768" s="12" t="s">
        <v>254</v>
      </c>
      <c r="K768" s="28" t="s">
        <v>263</v>
      </c>
    </row>
    <row r="769" spans="3:11" ht="15.5" thickTop="1" thickBot="1" x14ac:dyDescent="0.4">
      <c r="C769" s="26" t="s">
        <v>388</v>
      </c>
      <c r="D769" s="12">
        <v>85827</v>
      </c>
      <c r="E769" s="105" t="str">
        <f>IFERROR(VLOOKUP($D769,NUMDIST[],2,FALSE),"DA Non trouvéé")</f>
        <v>KISANGANI - SHOP LA GRACE</v>
      </c>
      <c r="F769" s="12" t="s">
        <v>262</v>
      </c>
      <c r="G769" s="14" t="s">
        <v>4</v>
      </c>
      <c r="H769" s="13">
        <v>587500</v>
      </c>
      <c r="I769" s="13">
        <v>0</v>
      </c>
      <c r="J769" s="12" t="s">
        <v>254</v>
      </c>
      <c r="K769" s="28" t="s">
        <v>263</v>
      </c>
    </row>
    <row r="770" spans="3:11" ht="15.5" thickTop="1" thickBot="1" x14ac:dyDescent="0.4">
      <c r="C770" s="26" t="s">
        <v>388</v>
      </c>
      <c r="D770" s="12">
        <v>36710</v>
      </c>
      <c r="E770" s="105" t="str">
        <f>IFERROR(VLOOKUP($D770,NUMDIST[],2,FALSE),"DA Non trouvéé")</f>
        <v>BUNIA - BOUTIQUE JPS DM</v>
      </c>
      <c r="F770" s="12" t="s">
        <v>262</v>
      </c>
      <c r="G770" s="14" t="s">
        <v>10</v>
      </c>
      <c r="H770" s="13">
        <v>2601700</v>
      </c>
      <c r="I770" s="13">
        <v>0</v>
      </c>
      <c r="J770" s="12" t="s">
        <v>254</v>
      </c>
      <c r="K770" s="28" t="s">
        <v>263</v>
      </c>
    </row>
    <row r="771" spans="3:11" ht="15.5" thickTop="1" thickBot="1" x14ac:dyDescent="0.4">
      <c r="C771" s="26" t="s">
        <v>388</v>
      </c>
      <c r="D771" s="12">
        <v>55349</v>
      </c>
      <c r="E771" s="105" t="str">
        <f>IFERROR(VLOOKUP($D771,NUMDIST[],2,FALSE),"DA Non trouvéé")</f>
        <v>ISIRO - LES AMIS</v>
      </c>
      <c r="F771" s="12" t="s">
        <v>262</v>
      </c>
      <c r="G771" s="14" t="s">
        <v>7</v>
      </c>
      <c r="H771" s="13">
        <v>423000</v>
      </c>
      <c r="I771" s="13">
        <v>0</v>
      </c>
      <c r="J771" s="12" t="s">
        <v>254</v>
      </c>
      <c r="K771" s="28" t="s">
        <v>263</v>
      </c>
    </row>
    <row r="772" spans="3:11" ht="15.5" thickTop="1" thickBot="1" x14ac:dyDescent="0.4">
      <c r="C772" s="26" t="s">
        <v>388</v>
      </c>
      <c r="D772" s="12">
        <v>41317</v>
      </c>
      <c r="E772" s="105" t="str">
        <f>IFERROR(VLOOKUP($D772,NUMDIST[],2,FALSE),"DA Non trouvéé")</f>
        <v>Bukavu - Ets JPS DM BUKAVU</v>
      </c>
      <c r="F772" s="12" t="s">
        <v>262</v>
      </c>
      <c r="G772" s="14" t="s">
        <v>7</v>
      </c>
      <c r="H772" s="13">
        <v>470000</v>
      </c>
      <c r="I772" s="13">
        <v>0</v>
      </c>
      <c r="J772" s="12" t="s">
        <v>254</v>
      </c>
      <c r="K772" s="28" t="s">
        <v>263</v>
      </c>
    </row>
    <row r="773" spans="3:11" ht="15.5" thickTop="1" thickBot="1" x14ac:dyDescent="0.4">
      <c r="C773" s="26" t="s">
        <v>388</v>
      </c>
      <c r="D773" s="12">
        <v>36431</v>
      </c>
      <c r="E773" s="105" t="str">
        <f>IFERROR(VLOOKUP($D773,NUMDIST[],2,FALSE),"DA Non trouvéé")</f>
        <v>Isiro - MACAMPAGNE</v>
      </c>
      <c r="F773" s="12" t="s">
        <v>262</v>
      </c>
      <c r="G773" s="14" t="s">
        <v>8</v>
      </c>
      <c r="H773" s="13">
        <v>517000</v>
      </c>
      <c r="I773" s="13">
        <v>0</v>
      </c>
      <c r="J773" s="12" t="s">
        <v>254</v>
      </c>
      <c r="K773" s="28" t="s">
        <v>263</v>
      </c>
    </row>
    <row r="774" spans="3:11" ht="15.5" thickTop="1" thickBot="1" x14ac:dyDescent="0.4">
      <c r="C774" s="26" t="s">
        <v>388</v>
      </c>
      <c r="D774" s="12">
        <v>59057</v>
      </c>
      <c r="E774" s="105" t="str">
        <f>IFERROR(VLOOKUP($D774,NUMDIST[],2,FALSE),"DA Non trouvéé")</f>
        <v>ITURI - ETS BJSE</v>
      </c>
      <c r="F774" s="12" t="s">
        <v>262</v>
      </c>
      <c r="G774" s="14" t="s">
        <v>19</v>
      </c>
      <c r="H774" s="13">
        <v>1880000</v>
      </c>
      <c r="I774" s="13">
        <v>0</v>
      </c>
      <c r="J774" s="12" t="s">
        <v>254</v>
      </c>
      <c r="K774" s="28" t="s">
        <v>263</v>
      </c>
    </row>
    <row r="775" spans="3:11" ht="15.5" thickTop="1" thickBot="1" x14ac:dyDescent="0.4">
      <c r="C775" s="26" t="s">
        <v>388</v>
      </c>
      <c r="D775" s="12">
        <v>90184</v>
      </c>
      <c r="E775" s="105" t="str">
        <f>IFERROR(VLOOKUP($D775,NUMDIST[],2,FALSE),"DA Non trouvéé")</f>
        <v>BUNIA - ETS MOISE MESO</v>
      </c>
      <c r="F775" s="12" t="s">
        <v>262</v>
      </c>
      <c r="G775" s="14" t="s">
        <v>19</v>
      </c>
      <c r="H775" s="13">
        <v>470000</v>
      </c>
      <c r="I775" s="13">
        <v>0</v>
      </c>
      <c r="J775" s="12" t="s">
        <v>254</v>
      </c>
      <c r="K775" s="28" t="s">
        <v>263</v>
      </c>
    </row>
    <row r="776" spans="3:11" ht="15.5" thickTop="1" thickBot="1" x14ac:dyDescent="0.4">
      <c r="C776" s="26" t="s">
        <v>388</v>
      </c>
      <c r="D776" s="12">
        <v>34597</v>
      </c>
      <c r="E776" s="105" t="str">
        <f>IFERROR(VLOOKUP($D776,NUMDIST[],2,FALSE),"DA Non trouvéé")</f>
        <v>ETABLISSEMENT-  JPS DM BIGO</v>
      </c>
      <c r="F776" s="12" t="s">
        <v>262</v>
      </c>
      <c r="G776" s="14" t="s">
        <v>7</v>
      </c>
      <c r="H776" s="13">
        <v>494675</v>
      </c>
      <c r="I776" s="13">
        <v>0</v>
      </c>
      <c r="J776" s="12" t="s">
        <v>254</v>
      </c>
      <c r="K776" s="28" t="s">
        <v>263</v>
      </c>
    </row>
    <row r="777" spans="3:11" ht="15.5" thickTop="1" thickBot="1" x14ac:dyDescent="0.4">
      <c r="C777" s="26" t="s">
        <v>388</v>
      </c>
      <c r="D777" s="12">
        <v>95823</v>
      </c>
      <c r="E777" s="105" t="str">
        <f>IFERROR(VLOOKUP($D777,NUMDIST[],2,FALSE),"DA Non trouvéé")</f>
        <v>BUNIA - ETS CANAL BIA</v>
      </c>
      <c r="F777" s="12" t="s">
        <v>262</v>
      </c>
      <c r="G777" s="14" t="s">
        <v>19</v>
      </c>
      <c r="H777" s="13">
        <v>235000</v>
      </c>
      <c r="I777" s="13">
        <v>0</v>
      </c>
      <c r="J777" s="12" t="s">
        <v>254</v>
      </c>
      <c r="K777" s="28" t="s">
        <v>263</v>
      </c>
    </row>
    <row r="778" spans="3:11" ht="15.5" thickTop="1" thickBot="1" x14ac:dyDescent="0.4">
      <c r="C778" s="26" t="s">
        <v>388</v>
      </c>
      <c r="D778" s="12">
        <v>90176</v>
      </c>
      <c r="E778" s="105" t="str">
        <f>IFERROR(VLOOKUP($D778,NUMDIST[],2,FALSE),"DA Non trouvéé")</f>
        <v>BUNIA - SHOP MATATA</v>
      </c>
      <c r="F778" s="12" t="s">
        <v>262</v>
      </c>
      <c r="G778" s="14" t="s">
        <v>7</v>
      </c>
      <c r="H778" s="13">
        <v>470000</v>
      </c>
      <c r="I778" s="13">
        <v>0</v>
      </c>
      <c r="J778" s="12" t="s">
        <v>254</v>
      </c>
      <c r="K778" s="28" t="s">
        <v>263</v>
      </c>
    </row>
    <row r="779" spans="3:11" ht="15.5" thickTop="1" thickBot="1" x14ac:dyDescent="0.4">
      <c r="C779" s="26" t="s">
        <v>388</v>
      </c>
      <c r="D779" s="12">
        <v>85189</v>
      </c>
      <c r="E779" s="105" t="str">
        <f>IFERROR(VLOOKUP($D779,NUMDIST[],2,FALSE),"DA Non trouvéé")</f>
        <v>GOMA - CHEZ ZEPHERIN</v>
      </c>
      <c r="F779" s="12" t="s">
        <v>262</v>
      </c>
      <c r="G779" s="14" t="s">
        <v>5</v>
      </c>
      <c r="H779" s="13">
        <v>235000</v>
      </c>
      <c r="I779" s="13">
        <v>0</v>
      </c>
      <c r="J779" s="12" t="s">
        <v>254</v>
      </c>
      <c r="K779" s="28" t="s">
        <v>263</v>
      </c>
    </row>
    <row r="780" spans="3:11" ht="15.5" thickTop="1" thickBot="1" x14ac:dyDescent="0.4">
      <c r="C780" s="26" t="s">
        <v>388</v>
      </c>
      <c r="D780" s="12">
        <v>90182</v>
      </c>
      <c r="E780" s="105" t="str">
        <f>IFERROR(VLOOKUP($D780,NUMDIST[],2,FALSE),"DA Non trouvéé")</f>
        <v>BUNIA - PAPA MALO</v>
      </c>
      <c r="F780" s="12" t="s">
        <v>262</v>
      </c>
      <c r="G780" s="14" t="s">
        <v>7</v>
      </c>
      <c r="H780" s="13">
        <v>235000</v>
      </c>
      <c r="I780" s="13">
        <v>0</v>
      </c>
      <c r="J780" s="12" t="s">
        <v>254</v>
      </c>
      <c r="K780" s="28" t="s">
        <v>263</v>
      </c>
    </row>
    <row r="781" spans="3:11" ht="15.5" thickTop="1" thickBot="1" x14ac:dyDescent="0.4">
      <c r="C781" s="26" t="s">
        <v>388</v>
      </c>
      <c r="D781" s="12">
        <v>99337</v>
      </c>
      <c r="E781" s="105" t="str">
        <f>IFERROR(VLOOKUP($D781,NUMDIST[],2,FALSE),"DA Non trouvéé")</f>
        <v>ISIRO - SHOP CHARA HOUSE</v>
      </c>
      <c r="F781" s="12" t="s">
        <v>262</v>
      </c>
      <c r="G781" s="14" t="s">
        <v>8</v>
      </c>
      <c r="H781" s="13">
        <v>345500</v>
      </c>
      <c r="I781" s="13">
        <v>0</v>
      </c>
      <c r="J781" s="12" t="s">
        <v>254</v>
      </c>
      <c r="K781" s="28" t="s">
        <v>263</v>
      </c>
    </row>
    <row r="782" spans="3:11" ht="15.5" thickTop="1" thickBot="1" x14ac:dyDescent="0.4">
      <c r="C782" s="26">
        <v>46228</v>
      </c>
      <c r="D782" s="12">
        <v>71087</v>
      </c>
      <c r="E782" s="105" t="str">
        <f>IFERROR(VLOOKUP($D782,NUMDIST[],2,FALSE),"DA Non trouvéé")</f>
        <v>ETS CALIFORNIE</v>
      </c>
      <c r="F782" s="12" t="s">
        <v>262</v>
      </c>
      <c r="G782" s="14" t="s">
        <v>19</v>
      </c>
      <c r="H782" s="13">
        <v>235000</v>
      </c>
      <c r="I782" s="13">
        <v>0</v>
      </c>
      <c r="J782" s="12" t="s">
        <v>254</v>
      </c>
      <c r="K782" s="28" t="s">
        <v>263</v>
      </c>
    </row>
    <row r="783" spans="3:11" ht="15.5" thickTop="1" thickBot="1" x14ac:dyDescent="0.4">
      <c r="C783" s="26">
        <v>46229</v>
      </c>
      <c r="D783" s="12">
        <v>85186</v>
      </c>
      <c r="E783" s="105" t="str">
        <f>IFERROR(VLOOKUP($D783,NUMDIST[],2,FALSE),"DA Non trouvéé")</f>
        <v>BUNIA - PKANDROMA SHOP SAMS</v>
      </c>
      <c r="F783" s="12" t="s">
        <v>262</v>
      </c>
      <c r="G783" s="14" t="s">
        <v>19</v>
      </c>
      <c r="H783" s="13">
        <v>470000</v>
      </c>
      <c r="I783" s="13">
        <v>0</v>
      </c>
      <c r="J783" s="12" t="s">
        <v>254</v>
      </c>
      <c r="K783" s="28" t="s">
        <v>263</v>
      </c>
    </row>
    <row r="784" spans="3:11" ht="15.5" thickTop="1" thickBot="1" x14ac:dyDescent="0.4">
      <c r="C784" s="62" t="s">
        <v>389</v>
      </c>
      <c r="D784" s="63">
        <v>87503</v>
      </c>
      <c r="E784" s="105" t="str">
        <f>IFERROR(VLOOKUP($D784,NUMDIST[],2,FALSE),"DA Non trouvéé")</f>
        <v>BUKAVU - ETS DIEU EST GRAND</v>
      </c>
      <c r="F784" s="12" t="s">
        <v>262</v>
      </c>
      <c r="G784" s="14" t="s">
        <v>5</v>
      </c>
      <c r="H784" s="13">
        <v>282000</v>
      </c>
      <c r="I784" s="13">
        <v>0</v>
      </c>
      <c r="J784" s="12" t="s">
        <v>254</v>
      </c>
      <c r="K784" s="28" t="s">
        <v>263</v>
      </c>
    </row>
    <row r="785" spans="3:11" ht="15.5" thickTop="1" thickBot="1" x14ac:dyDescent="0.4">
      <c r="C785" s="62" t="s">
        <v>389</v>
      </c>
      <c r="D785" s="63">
        <v>84318</v>
      </c>
      <c r="E785" s="105" t="str">
        <f>IFERROR(VLOOKUP($D785,NUMDIST[],2,FALSE),"DA Non trouvéé")</f>
        <v>BUTEMBO - FONDATION RUMY</v>
      </c>
      <c r="F785" s="12" t="s">
        <v>262</v>
      </c>
      <c r="G785" s="14" t="s">
        <v>7</v>
      </c>
      <c r="H785" s="13">
        <v>235000</v>
      </c>
      <c r="I785" s="13">
        <v>0</v>
      </c>
      <c r="J785" s="12" t="s">
        <v>254</v>
      </c>
      <c r="K785" s="28" t="s">
        <v>263</v>
      </c>
    </row>
    <row r="786" spans="3:11" ht="15.5" thickTop="1" thickBot="1" x14ac:dyDescent="0.4">
      <c r="C786" s="62" t="s">
        <v>389</v>
      </c>
      <c r="D786" s="63">
        <v>55349</v>
      </c>
      <c r="E786" s="105" t="str">
        <f>IFERROR(VLOOKUP($D786,NUMDIST[],2,FALSE),"DA Non trouvéé")</f>
        <v>ISIRO - LES AMIS</v>
      </c>
      <c r="F786" s="12" t="s">
        <v>262</v>
      </c>
      <c r="G786" s="14" t="s">
        <v>7</v>
      </c>
      <c r="H786" s="13">
        <v>564000</v>
      </c>
      <c r="I786" s="13">
        <v>0</v>
      </c>
      <c r="J786" s="12" t="s">
        <v>254</v>
      </c>
      <c r="K786" s="28" t="s">
        <v>263</v>
      </c>
    </row>
    <row r="787" spans="3:11" ht="15.5" thickTop="1" thickBot="1" x14ac:dyDescent="0.4">
      <c r="C787" s="62" t="s">
        <v>389</v>
      </c>
      <c r="D787" s="63">
        <v>90184</v>
      </c>
      <c r="E787" s="105" t="str">
        <f>IFERROR(VLOOKUP($D787,NUMDIST[],2,FALSE),"DA Non trouvéé")</f>
        <v>BUNIA - ETS MOISE MESO</v>
      </c>
      <c r="F787" s="12" t="s">
        <v>262</v>
      </c>
      <c r="G787" s="14" t="s">
        <v>19</v>
      </c>
      <c r="H787" s="13">
        <v>470000</v>
      </c>
      <c r="I787" s="13">
        <v>0</v>
      </c>
      <c r="J787" s="12" t="s">
        <v>254</v>
      </c>
      <c r="K787" s="28" t="s">
        <v>263</v>
      </c>
    </row>
    <row r="788" spans="3:11" ht="15.5" thickTop="1" thickBot="1" x14ac:dyDescent="0.4">
      <c r="C788" s="62" t="s">
        <v>389</v>
      </c>
      <c r="D788" s="63">
        <v>85827</v>
      </c>
      <c r="E788" s="105" t="str">
        <f>IFERROR(VLOOKUP($D788,NUMDIST[],2,FALSE),"DA Non trouvéé")</f>
        <v>KISANGANI - SHOP LA GRACE</v>
      </c>
      <c r="F788" s="12" t="s">
        <v>262</v>
      </c>
      <c r="G788" s="14" t="s">
        <v>7</v>
      </c>
      <c r="H788" s="13">
        <v>869500</v>
      </c>
      <c r="I788" s="13">
        <v>0</v>
      </c>
      <c r="J788" s="12" t="s">
        <v>254</v>
      </c>
      <c r="K788" s="28" t="s">
        <v>263</v>
      </c>
    </row>
    <row r="789" spans="3:11" ht="15.5" thickTop="1" thickBot="1" x14ac:dyDescent="0.4">
      <c r="C789" s="62" t="s">
        <v>389</v>
      </c>
      <c r="D789" s="84">
        <v>108020</v>
      </c>
      <c r="E789" s="105" t="str">
        <f>IFERROR(VLOOKUP($D789,NUMDIST[],2,FALSE),"DA Non trouvéé")</f>
        <v>JPS GOMA SHOP GOSHEN</v>
      </c>
      <c r="F789" s="12" t="s">
        <v>262</v>
      </c>
      <c r="G789" s="14" t="s">
        <v>5</v>
      </c>
      <c r="H789" s="13">
        <v>235000</v>
      </c>
      <c r="I789" s="13">
        <v>0</v>
      </c>
      <c r="J789" s="12" t="s">
        <v>254</v>
      </c>
      <c r="K789" s="28" t="s">
        <v>263</v>
      </c>
    </row>
    <row r="790" spans="3:11" ht="15.5" thickTop="1" thickBot="1" x14ac:dyDescent="0.4">
      <c r="C790" s="62" t="s">
        <v>389</v>
      </c>
      <c r="D790" s="63">
        <v>91398</v>
      </c>
      <c r="E790" s="105" t="str">
        <f>IFERROR(VLOOKUP($D790,NUMDIST[],2,FALSE),"DA Non trouvéé")</f>
        <v>GOMA - YEKAYA BUSINESS</v>
      </c>
      <c r="F790" s="12" t="s">
        <v>262</v>
      </c>
      <c r="G790" s="14" t="s">
        <v>5</v>
      </c>
      <c r="H790" s="13">
        <v>235000</v>
      </c>
      <c r="I790" s="13">
        <v>0</v>
      </c>
      <c r="J790" s="12" t="s">
        <v>254</v>
      </c>
      <c r="K790" s="28" t="s">
        <v>263</v>
      </c>
    </row>
    <row r="791" spans="3:11" ht="15.5" thickTop="1" thickBot="1" x14ac:dyDescent="0.4">
      <c r="C791" s="62" t="s">
        <v>389</v>
      </c>
      <c r="D791" s="63">
        <v>104788</v>
      </c>
      <c r="E791" s="105" t="str">
        <f>IFERROR(VLOOKUP($D791,NUMDIST[],2,FALSE),"DA Non trouvéé")</f>
        <v>BUNIA - ETS DON DE DIEU</v>
      </c>
      <c r="F791" s="12" t="s">
        <v>262</v>
      </c>
      <c r="G791" s="14" t="s">
        <v>5</v>
      </c>
      <c r="H791" s="13">
        <v>235000</v>
      </c>
      <c r="I791" s="13">
        <v>0</v>
      </c>
      <c r="J791" s="12" t="s">
        <v>254</v>
      </c>
      <c r="K791" s="28" t="s">
        <v>263</v>
      </c>
    </row>
    <row r="792" spans="3:11" ht="15.5" thickTop="1" thickBot="1" x14ac:dyDescent="0.4">
      <c r="C792" s="62" t="s">
        <v>389</v>
      </c>
      <c r="D792" s="63">
        <v>36112</v>
      </c>
      <c r="E792" s="105" t="str">
        <f>IFERROR(VLOOKUP($D792,NUMDIST[],2,FALSE),"DA Non trouvéé")</f>
        <v>SUD KIVU - ETS AGRIPPINE</v>
      </c>
      <c r="F792" s="12" t="s">
        <v>262</v>
      </c>
      <c r="G792" s="14" t="s">
        <v>5</v>
      </c>
      <c r="H792" s="13">
        <v>200000</v>
      </c>
      <c r="I792" s="13">
        <v>0</v>
      </c>
      <c r="J792" s="12" t="s">
        <v>254</v>
      </c>
      <c r="K792" s="28" t="s">
        <v>263</v>
      </c>
    </row>
    <row r="793" spans="3:11" ht="15.5" thickTop="1" thickBot="1" x14ac:dyDescent="0.4">
      <c r="C793" s="62" t="s">
        <v>389</v>
      </c>
      <c r="D793" s="63">
        <v>91404</v>
      </c>
      <c r="E793" s="105" t="str">
        <f>IFERROR(VLOOKUP($D793,NUMDIST[],2,FALSE),"DA Non trouvéé")</f>
        <v>GOMA - SHOP GOMA</v>
      </c>
      <c r="F793" s="12" t="s">
        <v>262</v>
      </c>
      <c r="G793" s="14" t="s">
        <v>5</v>
      </c>
      <c r="H793" s="13">
        <v>477050</v>
      </c>
      <c r="I793" s="13">
        <v>0</v>
      </c>
      <c r="J793" s="12" t="s">
        <v>254</v>
      </c>
      <c r="K793" s="28" t="s">
        <v>263</v>
      </c>
    </row>
    <row r="794" spans="3:11" ht="15.5" thickTop="1" thickBot="1" x14ac:dyDescent="0.4">
      <c r="C794" s="62" t="s">
        <v>389</v>
      </c>
      <c r="D794" s="63">
        <v>90174</v>
      </c>
      <c r="E794" s="105" t="str">
        <f>IFERROR(VLOOKUP($D794,NUMDIST[],2,FALSE),"DA Non trouvéé")</f>
        <v>MAHAGI - ETS JACQUES PLUS</v>
      </c>
      <c r="F794" s="12" t="s">
        <v>262</v>
      </c>
      <c r="G794" s="14" t="s">
        <v>4</v>
      </c>
      <c r="H794" s="13">
        <v>235000</v>
      </c>
      <c r="I794" s="13">
        <v>0</v>
      </c>
      <c r="J794" s="12" t="s">
        <v>254</v>
      </c>
      <c r="K794" s="28" t="s">
        <v>263</v>
      </c>
    </row>
    <row r="795" spans="3:11" ht="15.5" thickTop="1" thickBot="1" x14ac:dyDescent="0.4">
      <c r="C795" s="62" t="s">
        <v>389</v>
      </c>
      <c r="D795" s="63">
        <v>79743</v>
      </c>
      <c r="E795" s="105" t="str">
        <f>IFERROR(VLOOKUP($D795,NUMDIST[],2,FALSE),"DA Non trouvéé")</f>
        <v>KASINDI - SHOP ROLKO</v>
      </c>
      <c r="F795" s="12" t="s">
        <v>262</v>
      </c>
      <c r="G795" s="14" t="s">
        <v>5</v>
      </c>
      <c r="H795" s="13">
        <v>235000</v>
      </c>
      <c r="I795" s="13">
        <v>0</v>
      </c>
      <c r="J795" s="12" t="s">
        <v>254</v>
      </c>
      <c r="K795" s="28" t="s">
        <v>263</v>
      </c>
    </row>
    <row r="796" spans="3:11" ht="15.5" thickTop="1" thickBot="1" x14ac:dyDescent="0.4">
      <c r="C796" s="62" t="s">
        <v>389</v>
      </c>
      <c r="D796" s="63">
        <v>99337</v>
      </c>
      <c r="E796" s="105" t="str">
        <f>IFERROR(VLOOKUP($D796,NUMDIST[],2,FALSE),"DA Non trouvéé")</f>
        <v>ISIRO - SHOP CHARA HOUSE</v>
      </c>
      <c r="F796" s="12" t="s">
        <v>262</v>
      </c>
      <c r="G796" s="14" t="s">
        <v>7</v>
      </c>
      <c r="H796" s="13">
        <v>763750</v>
      </c>
      <c r="I796" s="13">
        <v>0</v>
      </c>
      <c r="J796" s="12" t="s">
        <v>254</v>
      </c>
      <c r="K796" s="28" t="s">
        <v>263</v>
      </c>
    </row>
    <row r="797" spans="3:11" ht="15.5" thickTop="1" thickBot="1" x14ac:dyDescent="0.4">
      <c r="C797" s="62" t="s">
        <v>389</v>
      </c>
      <c r="D797" s="63">
        <v>36430</v>
      </c>
      <c r="E797" s="105" t="str">
        <f>IFERROR(VLOOKUP($D797,NUMDIST[],2,FALSE),"DA Non trouvéé")</f>
        <v>Bunia - ETS BOTOAFINE</v>
      </c>
      <c r="F797" s="12" t="s">
        <v>262</v>
      </c>
      <c r="G797" s="14" t="s">
        <v>19</v>
      </c>
      <c r="H797" s="13">
        <v>235000</v>
      </c>
      <c r="I797" s="13">
        <v>0</v>
      </c>
      <c r="J797" s="12" t="s">
        <v>254</v>
      </c>
      <c r="K797" s="28" t="s">
        <v>263</v>
      </c>
    </row>
    <row r="798" spans="3:11" ht="15.5" thickTop="1" thickBot="1" x14ac:dyDescent="0.4">
      <c r="C798" s="62" t="s">
        <v>389</v>
      </c>
      <c r="D798" s="63">
        <v>36711</v>
      </c>
      <c r="E798" s="105" t="str">
        <f>IFERROR(VLOOKUP($D798,NUMDIST[],2,FALSE),"DA Non trouvéé")</f>
        <v>MONGBWALU - ETS FSN</v>
      </c>
      <c r="F798" s="12" t="s">
        <v>262</v>
      </c>
      <c r="G798" s="14" t="s">
        <v>6</v>
      </c>
      <c r="H798" s="13">
        <v>4700000</v>
      </c>
      <c r="I798" s="13">
        <v>0</v>
      </c>
      <c r="J798" s="12" t="s">
        <v>15</v>
      </c>
      <c r="K798" s="28" t="s">
        <v>263</v>
      </c>
    </row>
    <row r="799" spans="3:11" ht="15.5" thickTop="1" thickBot="1" x14ac:dyDescent="0.4">
      <c r="C799" s="62" t="s">
        <v>389</v>
      </c>
      <c r="D799" s="63">
        <v>36710</v>
      </c>
      <c r="E799" s="105" t="str">
        <f>IFERROR(VLOOKUP($D799,NUMDIST[],2,FALSE),"DA Non trouvéé")</f>
        <v>BUNIA - BOUTIQUE JPS DM</v>
      </c>
      <c r="F799" s="12" t="s">
        <v>262</v>
      </c>
      <c r="G799" s="14" t="s">
        <v>19</v>
      </c>
      <c r="H799" s="13">
        <v>2017600</v>
      </c>
      <c r="I799" s="13">
        <v>0</v>
      </c>
      <c r="J799" s="12" t="s">
        <v>254</v>
      </c>
      <c r="K799" s="28" t="s">
        <v>263</v>
      </c>
    </row>
    <row r="800" spans="3:11" ht="15.5" thickTop="1" thickBot="1" x14ac:dyDescent="0.4">
      <c r="C800" s="62" t="s">
        <v>389</v>
      </c>
      <c r="D800" s="63">
        <v>34597</v>
      </c>
      <c r="E800" s="105" t="str">
        <f>IFERROR(VLOOKUP($D800,NUMDIST[],2,FALSE),"DA Non trouvéé")</f>
        <v>ETABLISSEMENT-  JPS DM BIGO</v>
      </c>
      <c r="F800" s="12" t="s">
        <v>262</v>
      </c>
      <c r="G800" s="14" t="s">
        <v>7</v>
      </c>
      <c r="H800" s="13">
        <v>998750</v>
      </c>
      <c r="I800" s="13">
        <v>0</v>
      </c>
      <c r="J800" s="12" t="s">
        <v>254</v>
      </c>
      <c r="K800" s="28" t="s">
        <v>263</v>
      </c>
    </row>
    <row r="801" spans="3:11" ht="15.5" thickTop="1" thickBot="1" x14ac:dyDescent="0.4">
      <c r="C801" s="62" t="s">
        <v>389</v>
      </c>
      <c r="D801" s="63">
        <v>55349</v>
      </c>
      <c r="E801" s="105" t="str">
        <f>IFERROR(VLOOKUP($D801,NUMDIST[],2,FALSE),"DA Non trouvéé")</f>
        <v>ISIRO - LES AMIS</v>
      </c>
      <c r="F801" s="12" t="s">
        <v>262</v>
      </c>
      <c r="G801" s="14" t="s">
        <v>7</v>
      </c>
      <c r="H801" s="13">
        <v>282000</v>
      </c>
      <c r="I801" s="13">
        <v>0</v>
      </c>
      <c r="J801" s="12" t="s">
        <v>254</v>
      </c>
      <c r="K801" s="28" t="s">
        <v>263</v>
      </c>
    </row>
    <row r="802" spans="3:11" ht="15.5" thickTop="1" thickBot="1" x14ac:dyDescent="0.4">
      <c r="C802" s="62" t="s">
        <v>389</v>
      </c>
      <c r="D802" s="63">
        <v>90192</v>
      </c>
      <c r="E802" s="105" t="str">
        <f>IFERROR(VLOOKUP($D802,NUMDIST[],2,FALSE),"DA Non trouvéé")</f>
        <v>BUKAVU - ETS LA GLOIRE</v>
      </c>
      <c r="F802" s="12" t="s">
        <v>262</v>
      </c>
      <c r="G802" s="14" t="s">
        <v>5</v>
      </c>
      <c r="H802" s="13">
        <v>256150</v>
      </c>
      <c r="I802" s="13">
        <v>0</v>
      </c>
      <c r="J802" s="12" t="s">
        <v>254</v>
      </c>
      <c r="K802" s="28" t="s">
        <v>263</v>
      </c>
    </row>
    <row r="803" spans="3:11" ht="15.5" thickTop="1" thickBot="1" x14ac:dyDescent="0.4">
      <c r="C803" s="62" t="s">
        <v>403</v>
      </c>
      <c r="D803" s="63">
        <v>79743</v>
      </c>
      <c r="E803" s="105" t="str">
        <f>IFERROR(VLOOKUP($D803,NUMDIST[],2,FALSE),"DA Non trouvéé")</f>
        <v>KASINDI - SHOP ROLKO</v>
      </c>
      <c r="F803" s="12" t="s">
        <v>262</v>
      </c>
      <c r="G803" s="14" t="s">
        <v>5</v>
      </c>
      <c r="H803" s="13">
        <v>235000</v>
      </c>
      <c r="I803" s="13">
        <v>0</v>
      </c>
      <c r="J803" s="12" t="s">
        <v>254</v>
      </c>
      <c r="K803" s="28" t="s">
        <v>263</v>
      </c>
    </row>
    <row r="804" spans="3:11" ht="15.5" thickTop="1" thickBot="1" x14ac:dyDescent="0.4">
      <c r="C804" s="62" t="s">
        <v>403</v>
      </c>
      <c r="D804" s="63">
        <v>87500</v>
      </c>
      <c r="E804" s="105" t="str">
        <f>IFERROR(VLOOKUP($D804,NUMDIST[],2,FALSE),"DA Non trouvéé")</f>
        <v>BUNIA - ETS DIEU MERCI</v>
      </c>
      <c r="F804" s="12" t="s">
        <v>262</v>
      </c>
      <c r="G804" s="14" t="s">
        <v>19</v>
      </c>
      <c r="H804" s="13">
        <v>129250</v>
      </c>
      <c r="I804" s="13">
        <v>0</v>
      </c>
      <c r="J804" s="12" t="s">
        <v>254</v>
      </c>
      <c r="K804" s="28" t="s">
        <v>263</v>
      </c>
    </row>
    <row r="805" spans="3:11" ht="15.5" thickTop="1" thickBot="1" x14ac:dyDescent="0.4">
      <c r="C805" s="62" t="s">
        <v>403</v>
      </c>
      <c r="D805" s="63">
        <v>36430</v>
      </c>
      <c r="E805" s="105" t="str">
        <f>IFERROR(VLOOKUP($D805,NUMDIST[],2,FALSE),"DA Non trouvéé")</f>
        <v>Bunia - ETS BOTOAFINE</v>
      </c>
      <c r="F805" s="12" t="s">
        <v>262</v>
      </c>
      <c r="G805" s="14" t="s">
        <v>19</v>
      </c>
      <c r="H805" s="13">
        <v>164500</v>
      </c>
      <c r="I805" s="13">
        <v>0</v>
      </c>
      <c r="J805" s="12" t="s">
        <v>254</v>
      </c>
      <c r="K805" s="28" t="s">
        <v>263</v>
      </c>
    </row>
    <row r="806" spans="3:11" ht="15.5" thickTop="1" thickBot="1" x14ac:dyDescent="0.4">
      <c r="C806" s="62" t="s">
        <v>403</v>
      </c>
      <c r="D806" s="63">
        <v>85827</v>
      </c>
      <c r="E806" s="105" t="str">
        <f>IFERROR(VLOOKUP($D806,NUMDIST[],2,FALSE),"DA Non trouvéé")</f>
        <v>KISANGANI - SHOP LA GRACE</v>
      </c>
      <c r="F806" s="12" t="s">
        <v>262</v>
      </c>
      <c r="G806" s="14" t="s">
        <v>7</v>
      </c>
      <c r="H806" s="13">
        <v>587500</v>
      </c>
      <c r="I806" s="13">
        <v>0</v>
      </c>
      <c r="J806" s="12" t="s">
        <v>254</v>
      </c>
      <c r="K806" s="28" t="s">
        <v>263</v>
      </c>
    </row>
    <row r="807" spans="3:11" ht="15.5" thickTop="1" thickBot="1" x14ac:dyDescent="0.4">
      <c r="C807" s="62" t="s">
        <v>403</v>
      </c>
      <c r="D807" s="63">
        <v>93942</v>
      </c>
      <c r="E807" s="105" t="str">
        <f>IFERROR(VLOOKUP($D807,NUMDIST[],2,FALSE),"DA Non trouvéé")</f>
        <v>BUNIA - ETS SAIDI</v>
      </c>
      <c r="F807" s="12" t="s">
        <v>262</v>
      </c>
      <c r="G807" s="14" t="s">
        <v>19</v>
      </c>
      <c r="H807" s="13">
        <v>235000</v>
      </c>
      <c r="I807" s="13">
        <v>0</v>
      </c>
      <c r="J807" s="12" t="s">
        <v>254</v>
      </c>
      <c r="K807" s="28" t="s">
        <v>405</v>
      </c>
    </row>
    <row r="808" spans="3:11" ht="15.5" thickTop="1" thickBot="1" x14ac:dyDescent="0.4">
      <c r="C808" s="62" t="s">
        <v>403</v>
      </c>
      <c r="D808" s="63">
        <v>42153</v>
      </c>
      <c r="E808" s="105" t="str">
        <f>IFERROR(VLOOKUP($D808,NUMDIST[],2,FALSE),"DA Non trouvéé")</f>
        <v>BUNIA - ETS SALEM</v>
      </c>
      <c r="F808" s="12" t="s">
        <v>262</v>
      </c>
      <c r="G808" s="14" t="s">
        <v>5</v>
      </c>
      <c r="H808" s="13">
        <v>235000</v>
      </c>
      <c r="I808" s="13">
        <v>0</v>
      </c>
      <c r="J808" s="12" t="s">
        <v>254</v>
      </c>
      <c r="K808" s="28" t="s">
        <v>263</v>
      </c>
    </row>
    <row r="809" spans="3:11" ht="15.5" thickTop="1" thickBot="1" x14ac:dyDescent="0.4">
      <c r="C809" s="62" t="s">
        <v>403</v>
      </c>
      <c r="D809" s="63">
        <v>96214</v>
      </c>
      <c r="E809" s="105" t="str">
        <f>IFERROR(VLOOKUP($D809,NUMDIST[],2,FALSE),"DA Non trouvéé")</f>
        <v>BUNIA - ETS AMJBUS</v>
      </c>
      <c r="F809" s="12" t="s">
        <v>262</v>
      </c>
      <c r="G809" s="14" t="s">
        <v>19</v>
      </c>
      <c r="H809" s="13">
        <v>235000</v>
      </c>
      <c r="I809" s="13">
        <v>0</v>
      </c>
      <c r="J809" s="12" t="s">
        <v>254</v>
      </c>
      <c r="K809" s="28" t="s">
        <v>263</v>
      </c>
    </row>
    <row r="810" spans="3:11" ht="15.5" thickTop="1" thickBot="1" x14ac:dyDescent="0.4">
      <c r="C810" s="62" t="s">
        <v>403</v>
      </c>
      <c r="D810" s="63">
        <v>42152</v>
      </c>
      <c r="E810" s="105" t="str">
        <f>IFERROR(VLOOKUP($D810,NUMDIST[],2,FALSE),"DA Non trouvéé")</f>
        <v>Bunia - Ets SKY</v>
      </c>
      <c r="F810" s="12" t="s">
        <v>262</v>
      </c>
      <c r="G810" s="14" t="s">
        <v>10</v>
      </c>
      <c r="H810" s="13">
        <v>952500</v>
      </c>
      <c r="I810" s="13">
        <v>0</v>
      </c>
      <c r="J810" s="12" t="s">
        <v>254</v>
      </c>
      <c r="K810" s="28" t="s">
        <v>263</v>
      </c>
    </row>
    <row r="811" spans="3:11" ht="15.5" thickTop="1" thickBot="1" x14ac:dyDescent="0.4">
      <c r="C811" s="62" t="s">
        <v>403</v>
      </c>
      <c r="D811" s="63">
        <v>36710</v>
      </c>
      <c r="E811" s="105" t="str">
        <f>IFERROR(VLOOKUP($D811,NUMDIST[],2,FALSE),"DA Non trouvéé")</f>
        <v>BUNIA - BOUTIQUE JPS DM</v>
      </c>
      <c r="F811" s="12" t="s">
        <v>262</v>
      </c>
      <c r="G811" s="14" t="s">
        <v>19</v>
      </c>
      <c r="H811" s="13">
        <v>2346900</v>
      </c>
      <c r="I811" s="13">
        <v>0</v>
      </c>
      <c r="J811" s="12" t="s">
        <v>254</v>
      </c>
      <c r="K811" s="28" t="s">
        <v>263</v>
      </c>
    </row>
    <row r="812" spans="3:11" ht="15.5" thickTop="1" thickBot="1" x14ac:dyDescent="0.4">
      <c r="C812" s="62" t="s">
        <v>403</v>
      </c>
      <c r="D812" s="63">
        <v>36431</v>
      </c>
      <c r="E812" s="105" t="str">
        <f>IFERROR(VLOOKUP($D812,NUMDIST[],2,FALSE),"DA Non trouvéé")</f>
        <v>Isiro - MACAMPAGNE</v>
      </c>
      <c r="F812" s="12" t="s">
        <v>262</v>
      </c>
      <c r="G812" s="14" t="s">
        <v>8</v>
      </c>
      <c r="H812" s="13">
        <v>611000</v>
      </c>
      <c r="I812" s="13">
        <v>0</v>
      </c>
      <c r="J812" s="12" t="s">
        <v>254</v>
      </c>
      <c r="K812" s="28" t="s">
        <v>263</v>
      </c>
    </row>
    <row r="813" spans="3:11" ht="15.5" thickTop="1" thickBot="1" x14ac:dyDescent="0.4">
      <c r="C813" s="62" t="s">
        <v>403</v>
      </c>
      <c r="D813" s="63">
        <v>36433</v>
      </c>
      <c r="E813" s="105" t="str">
        <f>IFERROR(VLOOKUP($D813,NUMDIST[],2,FALSE),"DA Non trouvéé")</f>
        <v>BUNIA - CHEZ JUSTIN</v>
      </c>
      <c r="F813" s="12" t="s">
        <v>262</v>
      </c>
      <c r="G813" s="14" t="s">
        <v>7</v>
      </c>
      <c r="H813" s="13">
        <v>1175000</v>
      </c>
      <c r="I813" s="13">
        <v>0</v>
      </c>
      <c r="J813" s="12" t="s">
        <v>254</v>
      </c>
      <c r="K813" s="28" t="s">
        <v>263</v>
      </c>
    </row>
    <row r="814" spans="3:11" ht="15.5" thickTop="1" thickBot="1" x14ac:dyDescent="0.4">
      <c r="C814" s="62" t="s">
        <v>403</v>
      </c>
      <c r="D814" s="63">
        <v>99337</v>
      </c>
      <c r="E814" s="105" t="str">
        <f>IFERROR(VLOOKUP($D814,NUMDIST[],2,FALSE),"DA Non trouvéé")</f>
        <v>ISIRO - SHOP CHARA HOUSE</v>
      </c>
      <c r="F814" s="12" t="s">
        <v>262</v>
      </c>
      <c r="G814" s="14" t="s">
        <v>8</v>
      </c>
      <c r="H814" s="13">
        <v>881250</v>
      </c>
      <c r="I814" s="13">
        <v>0</v>
      </c>
      <c r="J814" s="12" t="s">
        <v>254</v>
      </c>
      <c r="K814" s="28" t="s">
        <v>263</v>
      </c>
    </row>
    <row r="815" spans="3:11" ht="15.5" thickTop="1" thickBot="1" x14ac:dyDescent="0.4">
      <c r="C815" s="62" t="s">
        <v>403</v>
      </c>
      <c r="D815" s="63">
        <v>34598</v>
      </c>
      <c r="E815" s="105" t="str">
        <f>IFERROR(VLOOKUP($D815,NUMDIST[],2,FALSE),"DA Non trouvéé")</f>
        <v>ETABLISSEMENT JPS DM DURBA</v>
      </c>
      <c r="F815" s="12" t="s">
        <v>262</v>
      </c>
      <c r="G815" s="14" t="s">
        <v>8</v>
      </c>
      <c r="H815" s="13">
        <v>400000</v>
      </c>
      <c r="I815" s="13">
        <v>0</v>
      </c>
      <c r="J815" s="12" t="s">
        <v>254</v>
      </c>
      <c r="K815" s="28" t="s">
        <v>263</v>
      </c>
    </row>
    <row r="816" spans="3:11" ht="15.5" thickTop="1" thickBot="1" x14ac:dyDescent="0.4">
      <c r="C816" s="62" t="s">
        <v>403</v>
      </c>
      <c r="D816" s="63">
        <v>85837</v>
      </c>
      <c r="E816" s="105" t="str">
        <f>IFERROR(VLOOKUP($D816,NUMDIST[],2,FALSE),"DA Non trouvéé")</f>
        <v>BENI - SHOP ESPERANCE</v>
      </c>
      <c r="F816" s="12" t="s">
        <v>262</v>
      </c>
      <c r="G816" s="14" t="s">
        <v>7</v>
      </c>
      <c r="H816" s="13">
        <v>470000</v>
      </c>
      <c r="I816" s="13">
        <v>0</v>
      </c>
      <c r="J816" s="12" t="s">
        <v>254</v>
      </c>
      <c r="K816" s="28" t="s">
        <v>263</v>
      </c>
    </row>
    <row r="817" spans="3:11" ht="15.5" thickTop="1" thickBot="1" x14ac:dyDescent="0.4">
      <c r="C817" s="62" t="s">
        <v>403</v>
      </c>
      <c r="D817" s="63">
        <v>34597</v>
      </c>
      <c r="E817" s="105" t="str">
        <f>IFERROR(VLOOKUP($D817,NUMDIST[],2,FALSE),"DA Non trouvéé")</f>
        <v>ETABLISSEMENT-  JPS DM BIGO</v>
      </c>
      <c r="F817" s="12" t="s">
        <v>262</v>
      </c>
      <c r="G817" s="14" t="s">
        <v>7</v>
      </c>
      <c r="H817" s="13">
        <v>564000</v>
      </c>
      <c r="I817" s="13">
        <v>0</v>
      </c>
      <c r="J817" s="12" t="s">
        <v>254</v>
      </c>
      <c r="K817" s="28" t="s">
        <v>263</v>
      </c>
    </row>
    <row r="818" spans="3:11" ht="15.5" thickTop="1" thickBot="1" x14ac:dyDescent="0.4">
      <c r="C818" s="62" t="s">
        <v>403</v>
      </c>
      <c r="D818" s="63">
        <v>36272</v>
      </c>
      <c r="E818" s="105" t="str">
        <f>IFERROR(VLOOKUP($D818,NUMDIST[],2,FALSE),"DA Non trouvéé")</f>
        <v>BUNIA - JPS DM</v>
      </c>
      <c r="F818" s="12" t="s">
        <v>273</v>
      </c>
      <c r="G818" s="14" t="s">
        <v>7</v>
      </c>
      <c r="H818" s="13">
        <v>0</v>
      </c>
      <c r="I818" s="13">
        <v>30550000</v>
      </c>
      <c r="J818" s="12" t="s">
        <v>254</v>
      </c>
      <c r="K818" s="28" t="s">
        <v>276</v>
      </c>
    </row>
    <row r="819" spans="3:11" ht="15.5" thickTop="1" thickBot="1" x14ac:dyDescent="0.4">
      <c r="C819" s="62" t="s">
        <v>403</v>
      </c>
      <c r="D819" s="63">
        <v>55349</v>
      </c>
      <c r="E819" s="105" t="str">
        <f>IFERROR(VLOOKUP($D819,NUMDIST[],2,FALSE),"DA Non trouvéé")</f>
        <v>ISIRO - LES AMIS</v>
      </c>
      <c r="F819" s="12" t="s">
        <v>262</v>
      </c>
      <c r="G819" s="14" t="s">
        <v>7</v>
      </c>
      <c r="H819" s="13">
        <v>329000</v>
      </c>
      <c r="I819" s="13">
        <v>0</v>
      </c>
      <c r="J819" s="12" t="s">
        <v>254</v>
      </c>
      <c r="K819" s="28" t="s">
        <v>263</v>
      </c>
    </row>
    <row r="820" spans="3:11" ht="15.5" thickTop="1" thickBot="1" x14ac:dyDescent="0.4">
      <c r="C820" s="62" t="s">
        <v>404</v>
      </c>
      <c r="D820" s="84">
        <v>108547</v>
      </c>
      <c r="E820" s="105" t="str">
        <f>IFERROR(VLOOKUP($D820,NUMDIST[],2,FALSE),"DA Non trouvéé")</f>
        <v>DUNGU - ETS COURS DE GRAND</v>
      </c>
      <c r="F820" s="12" t="s">
        <v>262</v>
      </c>
      <c r="G820" s="14" t="s">
        <v>7</v>
      </c>
      <c r="H820" s="13">
        <v>1585000</v>
      </c>
      <c r="I820" s="13">
        <v>0</v>
      </c>
      <c r="J820" s="12" t="s">
        <v>254</v>
      </c>
      <c r="K820" s="28" t="s">
        <v>263</v>
      </c>
    </row>
    <row r="821" spans="3:11" ht="15.5" thickTop="1" thickBot="1" x14ac:dyDescent="0.4">
      <c r="C821" s="62" t="s">
        <v>404</v>
      </c>
      <c r="D821" s="63">
        <v>90134</v>
      </c>
      <c r="E821" s="105" t="str">
        <f>IFERROR(VLOOKUP($D821,NUMDIST[],2,FALSE),"DA Non trouvéé")</f>
        <v>KISANGANI - ETS SOLUTION PLUS</v>
      </c>
      <c r="F821" s="12" t="s">
        <v>262</v>
      </c>
      <c r="G821" s="14" t="s">
        <v>4</v>
      </c>
      <c r="H821" s="13">
        <v>400000</v>
      </c>
      <c r="I821" s="13">
        <v>0</v>
      </c>
      <c r="J821" s="12" t="s">
        <v>254</v>
      </c>
      <c r="K821" s="28" t="s">
        <v>263</v>
      </c>
    </row>
    <row r="822" spans="3:11" ht="15.5" thickTop="1" thickBot="1" x14ac:dyDescent="0.4">
      <c r="C822" s="62" t="s">
        <v>404</v>
      </c>
      <c r="D822" s="63">
        <v>42153</v>
      </c>
      <c r="E822" s="105" t="str">
        <f>IFERROR(VLOOKUP($D822,NUMDIST[],2,FALSE),"DA Non trouvéé")</f>
        <v>BUNIA - ETS SALEM</v>
      </c>
      <c r="F822" s="12" t="s">
        <v>262</v>
      </c>
      <c r="G822" s="14" t="s">
        <v>5</v>
      </c>
      <c r="H822" s="13">
        <v>235000</v>
      </c>
      <c r="I822" s="13">
        <v>0</v>
      </c>
      <c r="J822" s="12" t="s">
        <v>254</v>
      </c>
      <c r="K822" s="28" t="s">
        <v>263</v>
      </c>
    </row>
    <row r="823" spans="3:11" ht="15.5" thickTop="1" thickBot="1" x14ac:dyDescent="0.4">
      <c r="C823" s="62" t="s">
        <v>404</v>
      </c>
      <c r="D823" s="63">
        <v>87500</v>
      </c>
      <c r="E823" s="105" t="str">
        <f>IFERROR(VLOOKUP($D823,NUMDIST[],2,FALSE),"DA Non trouvéé")</f>
        <v>BUNIA - ETS DIEU MERCI</v>
      </c>
      <c r="F823" s="12" t="s">
        <v>262</v>
      </c>
      <c r="G823" s="14" t="s">
        <v>19</v>
      </c>
      <c r="H823" s="13">
        <v>108750</v>
      </c>
      <c r="I823" s="13">
        <v>0</v>
      </c>
      <c r="J823" s="12" t="s">
        <v>254</v>
      </c>
      <c r="K823" s="28" t="s">
        <v>263</v>
      </c>
    </row>
    <row r="824" spans="3:11" ht="15.5" thickTop="1" thickBot="1" x14ac:dyDescent="0.4">
      <c r="C824" s="62" t="s">
        <v>404</v>
      </c>
      <c r="D824" s="63">
        <v>87503</v>
      </c>
      <c r="E824" s="105" t="str">
        <f>IFERROR(VLOOKUP($D824,NUMDIST[],2,FALSE),"DA Non trouvéé")</f>
        <v>BUKAVU - ETS DIEU EST GRAND</v>
      </c>
      <c r="F824" s="12" t="s">
        <v>262</v>
      </c>
      <c r="G824" s="14" t="s">
        <v>5</v>
      </c>
      <c r="H824" s="13">
        <v>533450</v>
      </c>
      <c r="I824" s="13">
        <v>0</v>
      </c>
      <c r="J824" s="12" t="s">
        <v>254</v>
      </c>
      <c r="K824" s="28" t="s">
        <v>263</v>
      </c>
    </row>
    <row r="825" spans="3:11" ht="15.5" thickTop="1" thickBot="1" x14ac:dyDescent="0.4">
      <c r="C825" s="62" t="s">
        <v>404</v>
      </c>
      <c r="D825" s="63">
        <v>91370</v>
      </c>
      <c r="E825" s="105" t="str">
        <f>IFERROR(VLOOKUP($D825,NUMDIST[],2,FALSE),"DA Non trouvéé")</f>
        <v>GOMA - SOCIETE MAISON GLORY</v>
      </c>
      <c r="F825" s="12" t="s">
        <v>262</v>
      </c>
      <c r="G825" s="14" t="s">
        <v>7</v>
      </c>
      <c r="H825" s="13">
        <v>1000000</v>
      </c>
      <c r="I825" s="13">
        <v>0</v>
      </c>
      <c r="J825" s="12" t="s">
        <v>254</v>
      </c>
      <c r="K825" s="28" t="s">
        <v>263</v>
      </c>
    </row>
    <row r="826" spans="3:11" ht="15.5" thickTop="1" thickBot="1" x14ac:dyDescent="0.4">
      <c r="C826" s="62" t="s">
        <v>404</v>
      </c>
      <c r="D826" s="63">
        <v>59057</v>
      </c>
      <c r="E826" s="105" t="str">
        <f>IFERROR(VLOOKUP($D826,NUMDIST[],2,FALSE),"DA Non trouvéé")</f>
        <v>ITURI - ETS BJSE</v>
      </c>
      <c r="F826" s="12" t="s">
        <v>262</v>
      </c>
      <c r="G826" s="14" t="s">
        <v>19</v>
      </c>
      <c r="H826" s="13">
        <v>1175000</v>
      </c>
      <c r="I826" s="13">
        <v>0</v>
      </c>
      <c r="J826" s="12" t="s">
        <v>254</v>
      </c>
      <c r="K826" s="28" t="s">
        <v>263</v>
      </c>
    </row>
    <row r="827" spans="3:11" ht="15.5" thickTop="1" thickBot="1" x14ac:dyDescent="0.4">
      <c r="C827" s="62" t="s">
        <v>404</v>
      </c>
      <c r="D827" s="63">
        <v>90141</v>
      </c>
      <c r="E827" s="105" t="str">
        <f>IFERROR(VLOOKUP($D827,NUMDIST[],2,FALSE),"DA Non trouvéé")</f>
        <v>GOMA - ETS SHOP ANUARITE</v>
      </c>
      <c r="F827" s="12" t="s">
        <v>262</v>
      </c>
      <c r="G827" s="14" t="s">
        <v>5</v>
      </c>
      <c r="H827" s="13">
        <v>169200</v>
      </c>
      <c r="I827" s="13">
        <v>0</v>
      </c>
      <c r="J827" s="12" t="s">
        <v>254</v>
      </c>
      <c r="K827" s="28" t="s">
        <v>263</v>
      </c>
    </row>
    <row r="828" spans="3:11" ht="15.5" thickTop="1" thickBot="1" x14ac:dyDescent="0.4">
      <c r="C828" s="62" t="s">
        <v>404</v>
      </c>
      <c r="D828" s="63">
        <v>36430</v>
      </c>
      <c r="E828" s="105" t="str">
        <f>IFERROR(VLOOKUP($D828,NUMDIST[],2,FALSE),"DA Non trouvéé")</f>
        <v>Bunia - ETS BOTOAFINE</v>
      </c>
      <c r="F828" s="12" t="s">
        <v>262</v>
      </c>
      <c r="G828" s="14" t="s">
        <v>4</v>
      </c>
      <c r="H828" s="13">
        <v>117500</v>
      </c>
      <c r="I828" s="13">
        <v>0</v>
      </c>
      <c r="J828" s="12" t="s">
        <v>254</v>
      </c>
      <c r="K828" s="28" t="s">
        <v>263</v>
      </c>
    </row>
    <row r="829" spans="3:11" ht="15.5" thickTop="1" thickBot="1" x14ac:dyDescent="0.4">
      <c r="C829" s="62" t="s">
        <v>404</v>
      </c>
      <c r="D829" s="63">
        <v>55349</v>
      </c>
      <c r="E829" s="105" t="str">
        <f>IFERROR(VLOOKUP($D829,NUMDIST[],2,FALSE),"DA Non trouvéé")</f>
        <v>ISIRO - LES AMIS</v>
      </c>
      <c r="F829" s="12" t="s">
        <v>262</v>
      </c>
      <c r="G829" s="14" t="s">
        <v>7</v>
      </c>
      <c r="H829" s="13">
        <v>446500</v>
      </c>
      <c r="I829" s="13">
        <v>0</v>
      </c>
      <c r="J829" s="12" t="s">
        <v>254</v>
      </c>
      <c r="K829" s="28" t="s">
        <v>263</v>
      </c>
    </row>
    <row r="830" spans="3:11" ht="15.5" thickTop="1" thickBot="1" x14ac:dyDescent="0.4">
      <c r="C830" s="62" t="s">
        <v>404</v>
      </c>
      <c r="D830" s="63">
        <v>90151</v>
      </c>
      <c r="E830" s="105" t="str">
        <f>IFERROR(VLOOKUP($D830,NUMDIST[],2,FALSE),"DA Non trouvéé")</f>
        <v>GOMA - SHOP KAISHU</v>
      </c>
      <c r="F830" s="12" t="s">
        <v>262</v>
      </c>
      <c r="G830" s="14" t="s">
        <v>5</v>
      </c>
      <c r="H830" s="13">
        <v>235000</v>
      </c>
      <c r="I830" s="13">
        <v>0</v>
      </c>
      <c r="J830" s="12" t="s">
        <v>254</v>
      </c>
      <c r="K830" s="28" t="s">
        <v>263</v>
      </c>
    </row>
    <row r="831" spans="3:11" ht="15.5" thickTop="1" thickBot="1" x14ac:dyDescent="0.4">
      <c r="C831" s="62" t="s">
        <v>404</v>
      </c>
      <c r="D831" s="63">
        <v>36433</v>
      </c>
      <c r="E831" s="105" t="str">
        <f>IFERROR(VLOOKUP($D831,NUMDIST[],2,FALSE),"DA Non trouvéé")</f>
        <v>BUNIA - CHEZ JUSTIN</v>
      </c>
      <c r="F831" s="12" t="s">
        <v>262</v>
      </c>
      <c r="G831" s="14" t="s">
        <v>7</v>
      </c>
      <c r="H831" s="13">
        <v>1175000</v>
      </c>
      <c r="I831" s="13">
        <v>0</v>
      </c>
      <c r="J831" s="12" t="s">
        <v>254</v>
      </c>
      <c r="K831" s="28" t="s">
        <v>263</v>
      </c>
    </row>
    <row r="832" spans="3:11" ht="15.5" thickTop="1" thickBot="1" x14ac:dyDescent="0.4">
      <c r="C832" s="62" t="s">
        <v>404</v>
      </c>
      <c r="D832" s="63">
        <v>54298</v>
      </c>
      <c r="E832" s="105" t="str">
        <f>IFERROR(VLOOKUP($D832,NUMDIST[],2,FALSE),"DA Non trouvéé")</f>
        <v>KIVU - SHOP SATELLITE</v>
      </c>
      <c r="F832" s="12" t="s">
        <v>262</v>
      </c>
      <c r="G832" s="14" t="s">
        <v>5</v>
      </c>
      <c r="H832" s="13">
        <v>235000</v>
      </c>
      <c r="I832" s="13">
        <v>0</v>
      </c>
      <c r="J832" s="12" t="s">
        <v>254</v>
      </c>
      <c r="K832" s="28" t="s">
        <v>263</v>
      </c>
    </row>
    <row r="833" spans="3:11" ht="15.5" thickTop="1" thickBot="1" x14ac:dyDescent="0.4">
      <c r="C833" s="62" t="s">
        <v>404</v>
      </c>
      <c r="D833" s="63">
        <v>85827</v>
      </c>
      <c r="E833" s="105" t="str">
        <f>IFERROR(VLOOKUP($D833,NUMDIST[],2,FALSE),"DA Non trouvéé")</f>
        <v>KISANGANI - SHOP LA GRACE</v>
      </c>
      <c r="F833" s="12" t="s">
        <v>262</v>
      </c>
      <c r="G833" s="14" t="s">
        <v>5</v>
      </c>
      <c r="H833" s="13">
        <v>1057500</v>
      </c>
      <c r="I833" s="13">
        <v>0</v>
      </c>
      <c r="J833" s="12" t="s">
        <v>254</v>
      </c>
      <c r="K833" s="28" t="s">
        <v>263</v>
      </c>
    </row>
    <row r="834" spans="3:11" ht="15.5" thickTop="1" thickBot="1" x14ac:dyDescent="0.4">
      <c r="C834" s="62" t="s">
        <v>404</v>
      </c>
      <c r="D834" s="63">
        <v>107345</v>
      </c>
      <c r="E834" s="105" t="str">
        <f>IFERROR(VLOOKUP($D834,NUMDIST[],2,FALSE),"DA Non trouvéé")</f>
        <v>ITURI - ETS JEHOVAH SHALOM</v>
      </c>
      <c r="F834" s="12" t="s">
        <v>262</v>
      </c>
      <c r="G834" s="14" t="s">
        <v>4</v>
      </c>
      <c r="H834" s="13">
        <v>352500</v>
      </c>
      <c r="I834" s="13">
        <v>0</v>
      </c>
      <c r="J834" s="12" t="s">
        <v>254</v>
      </c>
      <c r="K834" s="28" t="s">
        <v>263</v>
      </c>
    </row>
    <row r="835" spans="3:11" ht="15.5" thickTop="1" thickBot="1" x14ac:dyDescent="0.4">
      <c r="C835" s="62" t="s">
        <v>404</v>
      </c>
      <c r="D835" s="63">
        <v>36112</v>
      </c>
      <c r="E835" s="105" t="str">
        <f>IFERROR(VLOOKUP($D835,NUMDIST[],2,FALSE),"DA Non trouvéé")</f>
        <v>SUD KIVU - ETS AGRIPPINE</v>
      </c>
      <c r="F835" s="12" t="s">
        <v>262</v>
      </c>
      <c r="G835" s="14" t="s">
        <v>5</v>
      </c>
      <c r="H835" s="13">
        <v>200000</v>
      </c>
      <c r="I835" s="13">
        <v>0</v>
      </c>
      <c r="J835" s="12" t="s">
        <v>254</v>
      </c>
      <c r="K835" s="28" t="s">
        <v>263</v>
      </c>
    </row>
    <row r="836" spans="3:11" ht="15.5" thickTop="1" thickBot="1" x14ac:dyDescent="0.4">
      <c r="C836" s="62" t="s">
        <v>404</v>
      </c>
      <c r="D836" s="63">
        <v>99337</v>
      </c>
      <c r="E836" s="105" t="str">
        <f>IFERROR(VLOOKUP($D836,NUMDIST[],2,FALSE),"DA Non trouvéé")</f>
        <v>ISIRO - SHOP CHARA HOUSE</v>
      </c>
      <c r="F836" s="12" t="s">
        <v>262</v>
      </c>
      <c r="G836" s="14" t="s">
        <v>8</v>
      </c>
      <c r="H836" s="13">
        <v>824850</v>
      </c>
      <c r="I836" s="13">
        <v>0</v>
      </c>
      <c r="J836" s="12" t="s">
        <v>254</v>
      </c>
      <c r="K836" s="28" t="s">
        <v>263</v>
      </c>
    </row>
    <row r="837" spans="3:11" ht="15.5" thickTop="1" thickBot="1" x14ac:dyDescent="0.4">
      <c r="C837" s="62" t="s">
        <v>404</v>
      </c>
      <c r="D837" s="63">
        <v>36710</v>
      </c>
      <c r="E837" s="105" t="str">
        <f>IFERROR(VLOOKUP($D837,NUMDIST[],2,FALSE),"DA Non trouvéé")</f>
        <v>BUNIA - BOUTIQUE JPS DM</v>
      </c>
      <c r="F837" s="12" t="s">
        <v>262</v>
      </c>
      <c r="G837" s="14" t="s">
        <v>19</v>
      </c>
      <c r="H837" s="13">
        <v>2138800</v>
      </c>
      <c r="I837" s="13">
        <v>0</v>
      </c>
      <c r="J837" s="12" t="s">
        <v>254</v>
      </c>
      <c r="K837" s="28" t="s">
        <v>263</v>
      </c>
    </row>
    <row r="838" spans="3:11" ht="15.5" thickTop="1" thickBot="1" x14ac:dyDescent="0.4">
      <c r="C838" s="62" t="s">
        <v>404</v>
      </c>
      <c r="D838" s="63">
        <v>90152</v>
      </c>
      <c r="E838" s="105" t="str">
        <f>IFERROR(VLOOKUP($D838,NUMDIST[],2,FALSE),"DA Non trouvéé")</f>
        <v>BUTEMBO - ETS OIEL DU CIEL</v>
      </c>
      <c r="F838" s="12" t="s">
        <v>262</v>
      </c>
      <c r="G838" s="14" t="s">
        <v>5</v>
      </c>
      <c r="H838" s="13">
        <v>268652</v>
      </c>
      <c r="I838" s="13">
        <v>0</v>
      </c>
      <c r="J838" s="12" t="s">
        <v>254</v>
      </c>
      <c r="K838" s="28" t="s">
        <v>263</v>
      </c>
    </row>
    <row r="839" spans="3:11" ht="15.5" thickTop="1" thickBot="1" x14ac:dyDescent="0.4">
      <c r="C839" s="62" t="s">
        <v>404</v>
      </c>
      <c r="D839" s="63">
        <v>34597</v>
      </c>
      <c r="E839" s="105" t="str">
        <f>IFERROR(VLOOKUP($D839,NUMDIST[],2,FALSE),"DA Non trouvéé")</f>
        <v>ETABLISSEMENT-  JPS DM BIGO</v>
      </c>
      <c r="F839" s="12" t="s">
        <v>262</v>
      </c>
      <c r="G839" s="14" t="s">
        <v>7</v>
      </c>
      <c r="H839" s="13">
        <v>535800</v>
      </c>
      <c r="I839" s="13">
        <v>0</v>
      </c>
      <c r="J839" s="12" t="s">
        <v>254</v>
      </c>
      <c r="K839" s="28" t="s">
        <v>263</v>
      </c>
    </row>
    <row r="840" spans="3:11" ht="15.5" thickTop="1" thickBot="1" x14ac:dyDescent="0.4">
      <c r="C840" s="62" t="s">
        <v>404</v>
      </c>
      <c r="D840" s="63">
        <v>71084</v>
      </c>
      <c r="E840" s="105" t="str">
        <f>IFERROR(VLOOKUP($D840,NUMDIST[],2,FALSE),"DA Non trouvéé")</f>
        <v>DURBA - Ets HUSSUMA BUSINESS</v>
      </c>
      <c r="F840" s="12" t="s">
        <v>262</v>
      </c>
      <c r="G840" s="14" t="s">
        <v>7</v>
      </c>
      <c r="H840" s="13">
        <v>6345800</v>
      </c>
      <c r="I840" s="13">
        <v>0</v>
      </c>
      <c r="J840" s="12" t="s">
        <v>254</v>
      </c>
      <c r="K840" s="28" t="s">
        <v>263</v>
      </c>
    </row>
    <row r="841" spans="3:11" ht="15.5" thickTop="1" thickBot="1" x14ac:dyDescent="0.4">
      <c r="C841" s="62" t="s">
        <v>404</v>
      </c>
      <c r="D841" s="63">
        <v>90141</v>
      </c>
      <c r="E841" s="105" t="str">
        <f>IFERROR(VLOOKUP($D841,NUMDIST[],2,FALSE),"DA Non trouvéé")</f>
        <v>GOMA - ETS SHOP ANUARITE</v>
      </c>
      <c r="F841" s="12" t="s">
        <v>262</v>
      </c>
      <c r="G841" s="14" t="s">
        <v>4</v>
      </c>
      <c r="H841" s="13">
        <v>72000</v>
      </c>
      <c r="I841" s="13">
        <v>0</v>
      </c>
      <c r="J841" s="12" t="s">
        <v>254</v>
      </c>
      <c r="K841" s="28" t="s">
        <v>263</v>
      </c>
    </row>
    <row r="842" spans="3:11" ht="15.5" thickTop="1" thickBot="1" x14ac:dyDescent="0.4">
      <c r="C842" s="62" t="s">
        <v>404</v>
      </c>
      <c r="D842" s="63">
        <v>36430</v>
      </c>
      <c r="E842" s="105" t="str">
        <f>IFERROR(VLOOKUP($D842,NUMDIST[],2,FALSE),"DA Non trouvéé")</f>
        <v>Bunia - ETS BOTOAFINE</v>
      </c>
      <c r="F842" s="12" t="s">
        <v>262</v>
      </c>
      <c r="G842" s="14" t="s">
        <v>19</v>
      </c>
      <c r="H842" s="13">
        <v>282000</v>
      </c>
      <c r="I842" s="13">
        <v>0</v>
      </c>
      <c r="J842" s="12" t="s">
        <v>254</v>
      </c>
      <c r="K842" s="28" t="s">
        <v>263</v>
      </c>
    </row>
    <row r="843" spans="3:11" ht="15.5" thickTop="1" thickBot="1" x14ac:dyDescent="0.4">
      <c r="C843" s="62" t="s">
        <v>404</v>
      </c>
      <c r="D843" s="63">
        <v>100652</v>
      </c>
      <c r="E843" s="105" t="str">
        <f>IFERROR(VLOOKUP($D843,NUMDIST[],2,FALSE),"DA Non trouvéé")</f>
        <v>BUNIA - ETS COURAGE IT</v>
      </c>
      <c r="F843" s="12" t="s">
        <v>262</v>
      </c>
      <c r="G843" s="14" t="s">
        <v>4</v>
      </c>
      <c r="H843" s="13">
        <v>235000</v>
      </c>
      <c r="I843" s="13">
        <v>0</v>
      </c>
      <c r="J843" s="12" t="s">
        <v>254</v>
      </c>
      <c r="K843" s="28" t="s">
        <v>263</v>
      </c>
    </row>
    <row r="844" spans="3:11" ht="15.5" thickTop="1" thickBot="1" x14ac:dyDescent="0.4">
      <c r="C844" s="26" t="s">
        <v>406</v>
      </c>
      <c r="D844" s="12">
        <v>79743</v>
      </c>
      <c r="E844" s="105" t="str">
        <f>IFERROR(VLOOKUP($D844,NUMDIST[],2,FALSE),"DA Non trouvéé")</f>
        <v>KASINDI - SHOP ROLKO</v>
      </c>
      <c r="F844" s="12" t="s">
        <v>262</v>
      </c>
      <c r="G844" s="14" t="s">
        <v>5</v>
      </c>
      <c r="H844" s="13">
        <v>329000</v>
      </c>
      <c r="I844" s="13">
        <v>0</v>
      </c>
      <c r="J844" s="12" t="s">
        <v>254</v>
      </c>
      <c r="K844" s="28" t="s">
        <v>263</v>
      </c>
    </row>
    <row r="845" spans="3:11" ht="15.5" thickTop="1" thickBot="1" x14ac:dyDescent="0.4">
      <c r="C845" s="26" t="s">
        <v>406</v>
      </c>
      <c r="D845" s="12">
        <v>95818</v>
      </c>
      <c r="E845" s="105" t="str">
        <f>IFERROR(VLOOKUP($D845,NUMDIST[],2,FALSE),"DA Non trouvéé")</f>
        <v>BUNIA - SHOP BLESSING</v>
      </c>
      <c r="F845" s="12" t="s">
        <v>262</v>
      </c>
      <c r="G845" s="14" t="s">
        <v>19</v>
      </c>
      <c r="H845" s="13">
        <v>141000</v>
      </c>
      <c r="I845" s="13">
        <v>0</v>
      </c>
      <c r="J845" s="12" t="s">
        <v>254</v>
      </c>
      <c r="K845" s="28" t="s">
        <v>263</v>
      </c>
    </row>
    <row r="846" spans="3:11" ht="15.5" thickTop="1" thickBot="1" x14ac:dyDescent="0.4">
      <c r="C846" s="26" t="s">
        <v>406</v>
      </c>
      <c r="D846" s="12">
        <v>95818</v>
      </c>
      <c r="E846" s="105" t="str">
        <f>IFERROR(VLOOKUP($D846,NUMDIST[],2,FALSE),"DA Non trouvéé")</f>
        <v>BUNIA - SHOP BLESSING</v>
      </c>
      <c r="F846" s="12" t="s">
        <v>262</v>
      </c>
      <c r="G846" s="14" t="s">
        <v>19</v>
      </c>
      <c r="H846" s="13">
        <v>141000</v>
      </c>
      <c r="I846" s="13">
        <v>0</v>
      </c>
      <c r="J846" s="12" t="s">
        <v>254</v>
      </c>
      <c r="K846" s="28" t="s">
        <v>263</v>
      </c>
    </row>
    <row r="847" spans="3:11" ht="15.5" thickTop="1" thickBot="1" x14ac:dyDescent="0.4">
      <c r="C847" s="26" t="s">
        <v>406</v>
      </c>
      <c r="D847" s="12">
        <v>55349</v>
      </c>
      <c r="E847" s="105" t="str">
        <f>IFERROR(VLOOKUP($D847,NUMDIST[],2,FALSE),"DA Non trouvéé")</f>
        <v>ISIRO - LES AMIS</v>
      </c>
      <c r="F847" s="12" t="s">
        <v>262</v>
      </c>
      <c r="G847" s="14" t="s">
        <v>7</v>
      </c>
      <c r="H847" s="13">
        <v>244400</v>
      </c>
      <c r="I847" s="13">
        <v>0</v>
      </c>
      <c r="J847" s="12" t="s">
        <v>254</v>
      </c>
      <c r="K847" s="28" t="s">
        <v>263</v>
      </c>
    </row>
    <row r="848" spans="3:11" ht="15.5" thickTop="1" thickBot="1" x14ac:dyDescent="0.4">
      <c r="C848" s="26" t="s">
        <v>406</v>
      </c>
      <c r="D848" s="12">
        <v>87500</v>
      </c>
      <c r="E848" s="105" t="str">
        <f>IFERROR(VLOOKUP($D848,NUMDIST[],2,FALSE),"DA Non trouvéé")</f>
        <v>BUNIA - ETS DIEU MERCI</v>
      </c>
      <c r="F848" s="12" t="s">
        <v>262</v>
      </c>
      <c r="G848" s="14" t="s">
        <v>19</v>
      </c>
      <c r="H848" s="13">
        <v>150500</v>
      </c>
      <c r="I848" s="13">
        <v>0</v>
      </c>
      <c r="J848" s="12" t="s">
        <v>254</v>
      </c>
      <c r="K848" s="28" t="s">
        <v>263</v>
      </c>
    </row>
    <row r="849" spans="3:11" ht="15.5" thickTop="1" thickBot="1" x14ac:dyDescent="0.4">
      <c r="C849" s="26" t="s">
        <v>406</v>
      </c>
      <c r="D849" s="12">
        <v>92117</v>
      </c>
      <c r="E849" s="105" t="str">
        <f>IFERROR(VLOOKUP($D849,NUMDIST[],2,FALSE),"DA Non trouvéé")</f>
        <v>KISANGANI - STAFF FLORY</v>
      </c>
      <c r="F849" s="12" t="s">
        <v>262</v>
      </c>
      <c r="G849" s="14" t="s">
        <v>7</v>
      </c>
      <c r="H849" s="13">
        <v>1175000</v>
      </c>
      <c r="I849" s="13">
        <v>0</v>
      </c>
      <c r="J849" s="12" t="s">
        <v>254</v>
      </c>
      <c r="K849" s="28" t="s">
        <v>263</v>
      </c>
    </row>
    <row r="850" spans="3:11" ht="15.5" thickTop="1" thickBot="1" x14ac:dyDescent="0.4">
      <c r="C850" s="26" t="s">
        <v>406</v>
      </c>
      <c r="D850" s="12">
        <v>42152</v>
      </c>
      <c r="E850" s="105" t="str">
        <f>IFERROR(VLOOKUP($D850,NUMDIST[],2,FALSE),"DA Non trouvéé")</f>
        <v>Bunia - Ets SKY</v>
      </c>
      <c r="F850" s="12" t="s">
        <v>262</v>
      </c>
      <c r="G850" s="14" t="s">
        <v>10</v>
      </c>
      <c r="H850" s="13">
        <v>761500</v>
      </c>
      <c r="I850" s="13">
        <v>0</v>
      </c>
      <c r="J850" s="12" t="s">
        <v>254</v>
      </c>
      <c r="K850" s="28" t="s">
        <v>263</v>
      </c>
    </row>
    <row r="851" spans="3:11" ht="15.5" thickTop="1" thickBot="1" x14ac:dyDescent="0.4">
      <c r="C851" s="26" t="s">
        <v>406</v>
      </c>
      <c r="D851" s="12">
        <v>84318</v>
      </c>
      <c r="E851" s="105" t="str">
        <f>IFERROR(VLOOKUP($D851,NUMDIST[],2,FALSE),"DA Non trouvéé")</f>
        <v>BUTEMBO - FONDATION RUMY</v>
      </c>
      <c r="F851" s="12" t="s">
        <v>262</v>
      </c>
      <c r="G851" s="14" t="s">
        <v>7</v>
      </c>
      <c r="H851" s="13">
        <v>235000</v>
      </c>
      <c r="I851" s="13">
        <v>0</v>
      </c>
      <c r="J851" s="12" t="s">
        <v>254</v>
      </c>
      <c r="K851" s="28" t="s">
        <v>263</v>
      </c>
    </row>
    <row r="852" spans="3:11" ht="15.5" thickTop="1" thickBot="1" x14ac:dyDescent="0.4">
      <c r="C852" s="26" t="s">
        <v>406</v>
      </c>
      <c r="D852" s="12">
        <v>90176</v>
      </c>
      <c r="E852" s="105" t="str">
        <f>IFERROR(VLOOKUP($D852,NUMDIST[],2,FALSE),"DA Non trouvéé")</f>
        <v>BUNIA - SHOP MATATA</v>
      </c>
      <c r="F852" s="12" t="s">
        <v>262</v>
      </c>
      <c r="G852" s="14" t="s">
        <v>7</v>
      </c>
      <c r="H852" s="13">
        <v>470000</v>
      </c>
      <c r="I852" s="13">
        <v>0</v>
      </c>
      <c r="J852" s="12" t="s">
        <v>254</v>
      </c>
      <c r="K852" s="28" t="s">
        <v>263</v>
      </c>
    </row>
    <row r="853" spans="3:11" ht="15.5" thickTop="1" thickBot="1" x14ac:dyDescent="0.4">
      <c r="C853" s="26" t="s">
        <v>406</v>
      </c>
      <c r="D853" s="12">
        <v>36433</v>
      </c>
      <c r="E853" s="105" t="str">
        <f>IFERROR(VLOOKUP($D853,NUMDIST[],2,FALSE),"DA Non trouvéé")</f>
        <v>BUNIA - CHEZ JUSTIN</v>
      </c>
      <c r="F853" s="12" t="s">
        <v>262</v>
      </c>
      <c r="G853" s="14" t="s">
        <v>7</v>
      </c>
      <c r="H853" s="13">
        <v>1175000</v>
      </c>
      <c r="I853" s="13">
        <v>0</v>
      </c>
      <c r="J853" s="12" t="s">
        <v>254</v>
      </c>
      <c r="K853" s="28" t="s">
        <v>263</v>
      </c>
    </row>
    <row r="854" spans="3:11" ht="15.5" thickTop="1" thickBot="1" x14ac:dyDescent="0.4">
      <c r="C854" s="26" t="s">
        <v>406</v>
      </c>
      <c r="D854" s="12">
        <v>95823</v>
      </c>
      <c r="E854" s="105" t="str">
        <f>IFERROR(VLOOKUP($D854,NUMDIST[],2,FALSE),"DA Non trouvéé")</f>
        <v>BUNIA - ETS CANAL BIA</v>
      </c>
      <c r="F854" s="12" t="s">
        <v>262</v>
      </c>
      <c r="G854" s="14" t="s">
        <v>19</v>
      </c>
      <c r="H854" s="13">
        <v>235000</v>
      </c>
      <c r="I854" s="13">
        <v>0</v>
      </c>
      <c r="J854" s="12" t="s">
        <v>254</v>
      </c>
      <c r="K854" s="28" t="s">
        <v>263</v>
      </c>
    </row>
    <row r="855" spans="3:11" ht="15.5" thickTop="1" thickBot="1" x14ac:dyDescent="0.4">
      <c r="C855" s="26" t="s">
        <v>406</v>
      </c>
      <c r="D855" s="12">
        <v>85827</v>
      </c>
      <c r="E855" s="105" t="str">
        <f>IFERROR(VLOOKUP($D855,NUMDIST[],2,FALSE),"DA Non trouvéé")</f>
        <v>KISANGANI - SHOP LA GRACE</v>
      </c>
      <c r="F855" s="12" t="s">
        <v>262</v>
      </c>
      <c r="G855" s="14" t="s">
        <v>7</v>
      </c>
      <c r="H855" s="13">
        <v>705000</v>
      </c>
      <c r="I855" s="13">
        <v>0</v>
      </c>
      <c r="J855" s="12" t="s">
        <v>254</v>
      </c>
      <c r="K855" s="28" t="s">
        <v>263</v>
      </c>
    </row>
    <row r="856" spans="3:11" ht="15.5" thickTop="1" thickBot="1" x14ac:dyDescent="0.4">
      <c r="C856" s="26" t="s">
        <v>406</v>
      </c>
      <c r="D856" s="12">
        <v>36710</v>
      </c>
      <c r="E856" s="105" t="str">
        <f>IFERROR(VLOOKUP($D856,NUMDIST[],2,FALSE),"DA Non trouvéé")</f>
        <v>BUNIA - BOUTIQUE JPS DM</v>
      </c>
      <c r="F856" s="12" t="s">
        <v>262</v>
      </c>
      <c r="G856" s="14" t="s">
        <v>19</v>
      </c>
      <c r="H856" s="13">
        <v>2750900</v>
      </c>
      <c r="I856" s="13">
        <v>0</v>
      </c>
      <c r="J856" s="12" t="s">
        <v>254</v>
      </c>
      <c r="K856" s="28" t="s">
        <v>263</v>
      </c>
    </row>
    <row r="857" spans="3:11" ht="15.5" thickTop="1" thickBot="1" x14ac:dyDescent="0.4">
      <c r="C857" s="26" t="s">
        <v>406</v>
      </c>
      <c r="D857" s="12">
        <v>41317</v>
      </c>
      <c r="E857" s="105" t="str">
        <f>IFERROR(VLOOKUP($D857,NUMDIST[],2,FALSE),"DA Non trouvéé")</f>
        <v>Bukavu - Ets JPS DM BUKAVU</v>
      </c>
      <c r="F857" s="12" t="s">
        <v>262</v>
      </c>
      <c r="G857" s="14" t="s">
        <v>5</v>
      </c>
      <c r="H857" s="13">
        <v>258500</v>
      </c>
      <c r="I857" s="13">
        <v>0</v>
      </c>
      <c r="J857" s="12" t="s">
        <v>254</v>
      </c>
      <c r="K857" s="28" t="s">
        <v>263</v>
      </c>
    </row>
    <row r="858" spans="3:11" ht="15.5" thickTop="1" thickBot="1" x14ac:dyDescent="0.4">
      <c r="C858" s="26" t="s">
        <v>406</v>
      </c>
      <c r="D858" s="12">
        <v>95816</v>
      </c>
      <c r="E858" s="105" t="str">
        <f>IFERROR(VLOOKUP($D858,NUMDIST[],2,FALSE),"DA Non trouvéé")</f>
        <v>DURBA - RIEN EST IMOPOBLE</v>
      </c>
      <c r="F858" s="12" t="s">
        <v>262</v>
      </c>
      <c r="G858" s="14" t="s">
        <v>5</v>
      </c>
      <c r="H858" s="13">
        <v>235000</v>
      </c>
      <c r="I858" s="13">
        <v>0</v>
      </c>
      <c r="J858" s="12" t="s">
        <v>254</v>
      </c>
      <c r="K858" s="28" t="s">
        <v>263</v>
      </c>
    </row>
    <row r="859" spans="3:11" ht="15.5" thickTop="1" thickBot="1" x14ac:dyDescent="0.4">
      <c r="C859" s="26" t="s">
        <v>406</v>
      </c>
      <c r="D859" s="12">
        <v>99337</v>
      </c>
      <c r="E859" s="105" t="str">
        <f>IFERROR(VLOOKUP($D859,NUMDIST[],2,FALSE),"DA Non trouvéé")</f>
        <v>ISIRO - SHOP CHARA HOUSE</v>
      </c>
      <c r="F859" s="12" t="s">
        <v>262</v>
      </c>
      <c r="G859" s="14" t="s">
        <v>7</v>
      </c>
      <c r="H859" s="13">
        <v>1149150</v>
      </c>
      <c r="I859" s="13">
        <v>0</v>
      </c>
      <c r="J859" s="12" t="s">
        <v>254</v>
      </c>
      <c r="K859" s="28" t="s">
        <v>263</v>
      </c>
    </row>
    <row r="860" spans="3:11" ht="15.5" thickTop="1" thickBot="1" x14ac:dyDescent="0.4">
      <c r="C860" s="26" t="s">
        <v>406</v>
      </c>
      <c r="D860" s="12">
        <v>90173</v>
      </c>
      <c r="E860" s="105" t="str">
        <f>IFERROR(VLOOKUP($D860,NUMDIST[],2,FALSE),"DA Non trouvéé")</f>
        <v>BUNIA - ZI BUSINESS</v>
      </c>
      <c r="F860" s="12" t="s">
        <v>262</v>
      </c>
      <c r="G860" s="14" t="s">
        <v>19</v>
      </c>
      <c r="H860" s="13">
        <v>188000</v>
      </c>
      <c r="I860" s="13">
        <v>0</v>
      </c>
      <c r="J860" s="12" t="s">
        <v>254</v>
      </c>
      <c r="K860" s="28" t="s">
        <v>263</v>
      </c>
    </row>
    <row r="861" spans="3:11" ht="15.5" thickTop="1" thickBot="1" x14ac:dyDescent="0.4">
      <c r="C861" s="26" t="s">
        <v>406</v>
      </c>
      <c r="D861" s="12">
        <v>34597</v>
      </c>
      <c r="E861" s="105" t="str">
        <f>IFERROR(VLOOKUP($D861,NUMDIST[],2,FALSE),"DA Non trouvéé")</f>
        <v>ETABLISSEMENT-  JPS DM BIGO</v>
      </c>
      <c r="F861" s="12" t="s">
        <v>262</v>
      </c>
      <c r="G861" s="14" t="s">
        <v>7</v>
      </c>
      <c r="H861" s="13">
        <v>893000</v>
      </c>
      <c r="I861" s="13">
        <v>0</v>
      </c>
      <c r="J861" s="12" t="s">
        <v>254</v>
      </c>
      <c r="K861" s="28" t="s">
        <v>263</v>
      </c>
    </row>
    <row r="862" spans="3:11" ht="15.5" thickTop="1" thickBot="1" x14ac:dyDescent="0.4">
      <c r="C862" s="26" t="s">
        <v>406</v>
      </c>
      <c r="D862" s="12">
        <v>95823</v>
      </c>
      <c r="E862" s="105" t="str">
        <f>IFERROR(VLOOKUP($D862,NUMDIST[],2,FALSE),"DA Non trouvéé")</f>
        <v>BUNIA - ETS CANAL BIA</v>
      </c>
      <c r="F862" s="12" t="s">
        <v>262</v>
      </c>
      <c r="G862" s="14" t="s">
        <v>19</v>
      </c>
      <c r="H862" s="13">
        <v>235000</v>
      </c>
      <c r="I862" s="13">
        <v>0</v>
      </c>
      <c r="J862" s="12" t="s">
        <v>254</v>
      </c>
      <c r="K862" s="28" t="s">
        <v>263</v>
      </c>
    </row>
    <row r="863" spans="3:11" ht="15.5" thickTop="1" thickBot="1" x14ac:dyDescent="0.4">
      <c r="C863" s="26" t="s">
        <v>406</v>
      </c>
      <c r="D863" s="12">
        <v>90156</v>
      </c>
      <c r="E863" s="105" t="str">
        <f>IFERROR(VLOOKUP($D863,NUMDIST[],2,FALSE),"DA Non trouvéé")</f>
        <v>GOMA - ETS ADONIS</v>
      </c>
      <c r="F863" s="12" t="s">
        <v>262</v>
      </c>
      <c r="G863" s="14" t="s">
        <v>5</v>
      </c>
      <c r="H863" s="13">
        <v>705000</v>
      </c>
      <c r="I863" s="13">
        <v>0</v>
      </c>
      <c r="J863" s="12" t="s">
        <v>254</v>
      </c>
      <c r="K863" s="28" t="s">
        <v>263</v>
      </c>
    </row>
    <row r="864" spans="3:11" ht="15.5" thickTop="1" thickBot="1" x14ac:dyDescent="0.4">
      <c r="C864" s="26">
        <v>46234</v>
      </c>
      <c r="D864" s="12">
        <v>79743</v>
      </c>
      <c r="E864" s="105" t="str">
        <f>IFERROR(VLOOKUP($D864,NUMDIST[],2,FALSE),"DA Non trouvéé")</f>
        <v>KASINDI - SHOP ROLKO</v>
      </c>
      <c r="F864" s="12" t="s">
        <v>262</v>
      </c>
      <c r="G864" s="14" t="s">
        <v>5</v>
      </c>
      <c r="H864" s="13">
        <v>11750</v>
      </c>
      <c r="I864" s="13">
        <v>0</v>
      </c>
      <c r="J864" s="12" t="s">
        <v>254</v>
      </c>
      <c r="K864" s="28" t="s">
        <v>263</v>
      </c>
    </row>
    <row r="865" spans="3:11" ht="15.5" thickTop="1" thickBot="1" x14ac:dyDescent="0.4">
      <c r="C865" s="26" t="s">
        <v>407</v>
      </c>
      <c r="D865" s="12">
        <v>103979</v>
      </c>
      <c r="E865" s="105" t="str">
        <f>IFERROR(VLOOKUP($D865,NUMDIST[],2,FALSE),"DA Non trouvéé")</f>
        <v>ARU -SHOP ELOHIM</v>
      </c>
      <c r="F865" s="12" t="s">
        <v>262</v>
      </c>
      <c r="G865" s="14" t="s">
        <v>4</v>
      </c>
      <c r="H865" s="13">
        <v>245000</v>
      </c>
      <c r="I865" s="13">
        <v>0</v>
      </c>
      <c r="J865" s="12" t="s">
        <v>254</v>
      </c>
      <c r="K865" s="28" t="s">
        <v>263</v>
      </c>
    </row>
    <row r="866" spans="3:11" ht="15.5" thickTop="1" thickBot="1" x14ac:dyDescent="0.4">
      <c r="C866" s="26" t="s">
        <v>407</v>
      </c>
      <c r="D866" s="12">
        <v>90185</v>
      </c>
      <c r="E866" s="105" t="str">
        <f>IFERROR(VLOOKUP($D866,NUMDIST[],2,FALSE),"DA Non trouvéé")</f>
        <v>DJUGU - CHEZ ROBERT</v>
      </c>
      <c r="F866" s="12" t="s">
        <v>262</v>
      </c>
      <c r="G866" s="14" t="s">
        <v>19</v>
      </c>
      <c r="H866" s="13">
        <v>235000</v>
      </c>
      <c r="I866" s="13">
        <v>0</v>
      </c>
      <c r="J866" s="12" t="s">
        <v>254</v>
      </c>
      <c r="K866" s="28" t="s">
        <v>263</v>
      </c>
    </row>
    <row r="867" spans="3:11" ht="15.5" thickTop="1" thickBot="1" x14ac:dyDescent="0.4">
      <c r="C867" s="26" t="s">
        <v>407</v>
      </c>
      <c r="D867" s="12">
        <v>36430</v>
      </c>
      <c r="E867" s="105" t="str">
        <f>IFERROR(VLOOKUP($D867,NUMDIST[],2,FALSE),"DA Non trouvéé")</f>
        <v>Bunia - ETS BOTOAFINE</v>
      </c>
      <c r="F867" s="12" t="s">
        <v>262</v>
      </c>
      <c r="G867" s="14" t="s">
        <v>19</v>
      </c>
      <c r="H867" s="13">
        <v>235000</v>
      </c>
      <c r="I867" s="13">
        <v>0</v>
      </c>
      <c r="J867" s="12" t="s">
        <v>254</v>
      </c>
      <c r="K867" s="28" t="s">
        <v>263</v>
      </c>
    </row>
    <row r="868" spans="3:11" ht="15.5" thickTop="1" thickBot="1" x14ac:dyDescent="0.4">
      <c r="C868" s="26" t="s">
        <v>407</v>
      </c>
      <c r="D868" s="12">
        <v>87012</v>
      </c>
      <c r="E868" s="105" t="str">
        <f>IFERROR(VLOOKUP($D868,NUMDIST[],2,FALSE),"DA Non trouvéé")</f>
        <v>BUNIA - ETS AIGLE</v>
      </c>
      <c r="F868" s="12" t="s">
        <v>262</v>
      </c>
      <c r="G868" s="14" t="s">
        <v>4</v>
      </c>
      <c r="H868" s="13">
        <v>235000</v>
      </c>
      <c r="I868" s="13">
        <v>0</v>
      </c>
      <c r="J868" s="12" t="s">
        <v>254</v>
      </c>
      <c r="K868" s="28" t="s">
        <v>263</v>
      </c>
    </row>
    <row r="869" spans="3:11" ht="15.5" thickTop="1" thickBot="1" x14ac:dyDescent="0.4">
      <c r="C869" s="26" t="s">
        <v>407</v>
      </c>
      <c r="D869" s="12">
        <v>95818</v>
      </c>
      <c r="E869" s="105" t="str">
        <f>IFERROR(VLOOKUP($D869,NUMDIST[],2,FALSE),"DA Non trouvéé")</f>
        <v>BUNIA - SHOP BLESSING</v>
      </c>
      <c r="F869" s="12" t="s">
        <v>262</v>
      </c>
      <c r="G869" s="14" t="s">
        <v>19</v>
      </c>
      <c r="H869" s="13">
        <v>235000</v>
      </c>
      <c r="I869" s="13">
        <v>0</v>
      </c>
      <c r="J869" s="12" t="s">
        <v>254</v>
      </c>
      <c r="K869" s="28" t="s">
        <v>263</v>
      </c>
    </row>
    <row r="870" spans="3:11" ht="15.5" thickTop="1" thickBot="1" x14ac:dyDescent="0.4">
      <c r="C870" s="26" t="s">
        <v>407</v>
      </c>
      <c r="D870" s="12">
        <v>54298</v>
      </c>
      <c r="E870" s="105" t="str">
        <f>IFERROR(VLOOKUP($D870,NUMDIST[],2,FALSE),"DA Non trouvéé")</f>
        <v>KIVU - SHOP SATELLITE</v>
      </c>
      <c r="F870" s="12" t="s">
        <v>262</v>
      </c>
      <c r="G870" s="14" t="s">
        <v>5</v>
      </c>
      <c r="H870" s="13">
        <v>235000</v>
      </c>
      <c r="I870" s="13">
        <v>0</v>
      </c>
      <c r="J870" s="12" t="s">
        <v>254</v>
      </c>
      <c r="K870" s="28" t="s">
        <v>263</v>
      </c>
    </row>
    <row r="871" spans="3:11" ht="15.5" thickTop="1" thickBot="1" x14ac:dyDescent="0.4">
      <c r="C871" s="26" t="s">
        <v>407</v>
      </c>
      <c r="D871" s="12">
        <v>90162</v>
      </c>
      <c r="E871" s="105" t="str">
        <f>IFERROR(VLOOKUP($D871,NUMDIST[],2,FALSE),"DA Non trouvéé")</f>
        <v>GOMA - ETS AKHIM</v>
      </c>
      <c r="F871" s="12" t="s">
        <v>262</v>
      </c>
      <c r="G871" s="14" t="s">
        <v>5</v>
      </c>
      <c r="H871" s="13">
        <v>1175000</v>
      </c>
      <c r="I871" s="13">
        <v>0</v>
      </c>
      <c r="J871" s="12" t="s">
        <v>254</v>
      </c>
      <c r="K871" s="28" t="s">
        <v>263</v>
      </c>
    </row>
    <row r="872" spans="3:11" ht="15.5" thickTop="1" thickBot="1" x14ac:dyDescent="0.4">
      <c r="C872" s="26" t="s">
        <v>407</v>
      </c>
      <c r="D872" s="12">
        <v>55349</v>
      </c>
      <c r="E872" s="105" t="str">
        <f>IFERROR(VLOOKUP($D872,NUMDIST[],2,FALSE),"DA Non trouvéé")</f>
        <v>ISIRO - LES AMIS</v>
      </c>
      <c r="F872" s="12" t="s">
        <v>262</v>
      </c>
      <c r="G872" s="14" t="s">
        <v>7</v>
      </c>
      <c r="H872" s="13">
        <v>376000</v>
      </c>
      <c r="I872" s="13">
        <v>0</v>
      </c>
      <c r="J872" s="12" t="s">
        <v>254</v>
      </c>
      <c r="K872" s="28" t="s">
        <v>263</v>
      </c>
    </row>
    <row r="873" spans="3:11" ht="15.5" thickTop="1" thickBot="1" x14ac:dyDescent="0.4">
      <c r="C873" s="26" t="s">
        <v>407</v>
      </c>
      <c r="D873" s="81">
        <v>108547</v>
      </c>
      <c r="E873" s="105" t="str">
        <f>IFERROR(VLOOKUP($D873,NUMDIST[],2,FALSE),"DA Non trouvéé")</f>
        <v>DUNGU - ETS COURS DE GRAND</v>
      </c>
      <c r="F873" s="12" t="s">
        <v>262</v>
      </c>
      <c r="G873" s="14" t="s">
        <v>7</v>
      </c>
      <c r="H873" s="13">
        <v>2000000</v>
      </c>
      <c r="I873" s="13">
        <v>0</v>
      </c>
      <c r="J873" s="12" t="s">
        <v>254</v>
      </c>
      <c r="K873" s="28" t="s">
        <v>263</v>
      </c>
    </row>
    <row r="874" spans="3:11" ht="15.5" thickTop="1" thickBot="1" x14ac:dyDescent="0.4">
      <c r="C874" s="26" t="s">
        <v>407</v>
      </c>
      <c r="D874" s="12">
        <v>42931</v>
      </c>
      <c r="E874" s="105" t="str">
        <f>IFERROR(VLOOKUP($D874,NUMDIST[],2,FALSE),"DA Non trouvéé")</f>
        <v>GOMA - VAD JPS DM</v>
      </c>
      <c r="F874" s="12" t="s">
        <v>262</v>
      </c>
      <c r="G874" s="14" t="s">
        <v>5</v>
      </c>
      <c r="H874" s="13">
        <v>88125</v>
      </c>
      <c r="I874" s="13">
        <v>0</v>
      </c>
      <c r="J874" s="12" t="s">
        <v>254</v>
      </c>
      <c r="K874" s="28" t="s">
        <v>263</v>
      </c>
    </row>
    <row r="875" spans="3:11" ht="15.5" thickTop="1" thickBot="1" x14ac:dyDescent="0.4">
      <c r="C875" s="26" t="s">
        <v>407</v>
      </c>
      <c r="D875" s="12">
        <v>91404</v>
      </c>
      <c r="E875" s="105" t="str">
        <f>IFERROR(VLOOKUP($D875,NUMDIST[],2,FALSE),"DA Non trouvéé")</f>
        <v>GOMA - SHOP GOMA</v>
      </c>
      <c r="F875" s="12" t="s">
        <v>262</v>
      </c>
      <c r="G875" s="14" t="s">
        <v>5</v>
      </c>
      <c r="H875" s="13">
        <v>470000</v>
      </c>
      <c r="I875" s="13">
        <v>0</v>
      </c>
      <c r="J875" s="12" t="s">
        <v>254</v>
      </c>
      <c r="K875" s="28" t="s">
        <v>263</v>
      </c>
    </row>
    <row r="876" spans="3:11" ht="15.5" thickTop="1" thickBot="1" x14ac:dyDescent="0.4">
      <c r="C876" s="26" t="s">
        <v>407</v>
      </c>
      <c r="D876" s="12">
        <v>84318</v>
      </c>
      <c r="E876" s="105" t="str">
        <f>IFERROR(VLOOKUP($D876,NUMDIST[],2,FALSE),"DA Non trouvéé")</f>
        <v>BUTEMBO - FONDATION RUMY</v>
      </c>
      <c r="F876" s="12" t="s">
        <v>262</v>
      </c>
      <c r="G876" s="14" t="s">
        <v>7</v>
      </c>
      <c r="H876" s="13">
        <v>235000</v>
      </c>
      <c r="I876" s="13">
        <v>0</v>
      </c>
      <c r="J876" s="12" t="s">
        <v>254</v>
      </c>
      <c r="K876" s="28" t="s">
        <v>263</v>
      </c>
    </row>
    <row r="877" spans="3:11" ht="15.5" thickTop="1" thickBot="1" x14ac:dyDescent="0.4">
      <c r="C877" s="26" t="s">
        <v>407</v>
      </c>
      <c r="D877" s="12">
        <v>87500</v>
      </c>
      <c r="E877" s="105" t="str">
        <f>IFERROR(VLOOKUP($D877,NUMDIST[],2,FALSE),"DA Non trouvéé")</f>
        <v>BUNIA - ETS DIEU MERCI</v>
      </c>
      <c r="F877" s="12" t="s">
        <v>262</v>
      </c>
      <c r="G877" s="14" t="s">
        <v>19</v>
      </c>
      <c r="H877" s="13">
        <v>92000</v>
      </c>
      <c r="I877" s="13">
        <v>0</v>
      </c>
      <c r="J877" s="12" t="s">
        <v>254</v>
      </c>
      <c r="K877" s="28" t="s">
        <v>263</v>
      </c>
    </row>
    <row r="878" spans="3:11" ht="15.5" thickTop="1" thickBot="1" x14ac:dyDescent="0.4">
      <c r="C878" s="26" t="s">
        <v>407</v>
      </c>
      <c r="D878" s="12">
        <v>95823</v>
      </c>
      <c r="E878" s="105" t="str">
        <f>IFERROR(VLOOKUP($D878,NUMDIST[],2,FALSE),"DA Non trouvéé")</f>
        <v>BUNIA - ETS CANAL BIA</v>
      </c>
      <c r="F878" s="12" t="s">
        <v>262</v>
      </c>
      <c r="G878" s="14" t="s">
        <v>19</v>
      </c>
      <c r="H878" s="13">
        <v>235000</v>
      </c>
      <c r="I878" s="13">
        <v>0</v>
      </c>
      <c r="J878" s="12" t="s">
        <v>254</v>
      </c>
      <c r="K878" s="28" t="s">
        <v>263</v>
      </c>
    </row>
    <row r="879" spans="3:11" ht="15.5" thickTop="1" thickBot="1" x14ac:dyDescent="0.4">
      <c r="C879" s="26" t="s">
        <v>407</v>
      </c>
      <c r="D879" s="12">
        <v>102556</v>
      </c>
      <c r="E879" s="105" t="str">
        <f>IFERROR(VLOOKUP($D879,NUMDIST[],2,FALSE),"DA Non trouvéé")</f>
        <v>DALA - EST GRACE DIVINE</v>
      </c>
      <c r="F879" s="12" t="s">
        <v>262</v>
      </c>
      <c r="G879" s="14" t="s">
        <v>4</v>
      </c>
      <c r="H879" s="13">
        <v>500000</v>
      </c>
      <c r="I879" s="13">
        <v>0</v>
      </c>
      <c r="J879" s="12" t="s">
        <v>254</v>
      </c>
      <c r="K879" s="28" t="s">
        <v>263</v>
      </c>
    </row>
    <row r="880" spans="3:11" ht="15.5" thickTop="1" thickBot="1" x14ac:dyDescent="0.4">
      <c r="C880" s="26" t="s">
        <v>407</v>
      </c>
      <c r="D880" s="12">
        <v>59057</v>
      </c>
      <c r="E880" s="105" t="str">
        <f>IFERROR(VLOOKUP($D880,NUMDIST[],2,FALSE),"DA Non trouvéé")</f>
        <v>ITURI - ETS BJSE</v>
      </c>
      <c r="F880" s="12" t="s">
        <v>262</v>
      </c>
      <c r="G880" s="14" t="s">
        <v>19</v>
      </c>
      <c r="H880" s="13">
        <v>1292500</v>
      </c>
      <c r="I880" s="13">
        <v>0</v>
      </c>
      <c r="J880" s="12" t="s">
        <v>254</v>
      </c>
      <c r="K880" s="28" t="s">
        <v>263</v>
      </c>
    </row>
    <row r="881" spans="3:11" ht="15.5" thickTop="1" thickBot="1" x14ac:dyDescent="0.4">
      <c r="C881" s="26" t="s">
        <v>407</v>
      </c>
      <c r="D881" s="12">
        <v>104929</v>
      </c>
      <c r="E881" s="105" t="str">
        <f>IFERROR(VLOOKUP($D881,NUMDIST[],2,FALSE),"DA Non trouvéé")</f>
        <v>KISANGANI - THEODOR BUSINESS</v>
      </c>
      <c r="F881" s="12" t="s">
        <v>262</v>
      </c>
      <c r="G881" s="14" t="s">
        <v>4</v>
      </c>
      <c r="H881" s="13">
        <v>235000</v>
      </c>
      <c r="I881" s="13">
        <v>0</v>
      </c>
      <c r="J881" s="12" t="s">
        <v>254</v>
      </c>
      <c r="K881" s="28" t="s">
        <v>263</v>
      </c>
    </row>
    <row r="882" spans="3:11" ht="15.5" thickTop="1" thickBot="1" x14ac:dyDescent="0.4">
      <c r="C882" s="26" t="s">
        <v>407</v>
      </c>
      <c r="D882" s="12">
        <v>85827</v>
      </c>
      <c r="E882" s="105" t="str">
        <f>IFERROR(VLOOKUP($D882,NUMDIST[],2,FALSE),"DA Non trouvéé")</f>
        <v>KISANGANI - SHOP LA GRACE</v>
      </c>
      <c r="F882" s="12" t="s">
        <v>262</v>
      </c>
      <c r="G882" s="14" t="s">
        <v>7</v>
      </c>
      <c r="H882" s="13">
        <v>846000</v>
      </c>
      <c r="I882" s="13">
        <v>0</v>
      </c>
      <c r="J882" s="12" t="s">
        <v>254</v>
      </c>
      <c r="K882" s="28" t="s">
        <v>263</v>
      </c>
    </row>
    <row r="883" spans="3:11" ht="15.5" thickTop="1" thickBot="1" x14ac:dyDescent="0.4">
      <c r="C883" s="26" t="s">
        <v>407</v>
      </c>
      <c r="D883" s="12">
        <v>87503</v>
      </c>
      <c r="E883" s="105" t="str">
        <f>IFERROR(VLOOKUP($D883,NUMDIST[],2,FALSE),"DA Non trouvéé")</f>
        <v>BUKAVU - ETS DIEU EST GRAND</v>
      </c>
      <c r="F883" s="12" t="s">
        <v>262</v>
      </c>
      <c r="G883" s="14" t="s">
        <v>7</v>
      </c>
      <c r="H883" s="13">
        <v>470000</v>
      </c>
      <c r="I883" s="13">
        <v>0</v>
      </c>
      <c r="J883" s="12" t="s">
        <v>254</v>
      </c>
      <c r="K883" s="28" t="s">
        <v>263</v>
      </c>
    </row>
    <row r="884" spans="3:11" ht="15.5" thickTop="1" thickBot="1" x14ac:dyDescent="0.4">
      <c r="C884" s="26" t="s">
        <v>407</v>
      </c>
      <c r="D884" s="12">
        <v>79743</v>
      </c>
      <c r="E884" s="105" t="str">
        <f>IFERROR(VLOOKUP($D884,NUMDIST[],2,FALSE),"DA Non trouvéé")</f>
        <v>KASINDI - SHOP ROLKO</v>
      </c>
      <c r="F884" s="12" t="s">
        <v>262</v>
      </c>
      <c r="G884" s="14" t="s">
        <v>5</v>
      </c>
      <c r="H884" s="13">
        <v>399500</v>
      </c>
      <c r="I884" s="13">
        <v>0</v>
      </c>
      <c r="J884" s="12" t="s">
        <v>254</v>
      </c>
      <c r="K884" s="28" t="s">
        <v>263</v>
      </c>
    </row>
    <row r="885" spans="3:11" ht="15.5" thickTop="1" thickBot="1" x14ac:dyDescent="0.4">
      <c r="C885" s="26" t="s">
        <v>407</v>
      </c>
      <c r="D885" s="12">
        <v>90134</v>
      </c>
      <c r="E885" s="105" t="str">
        <f>IFERROR(VLOOKUP($D885,NUMDIST[],2,FALSE),"DA Non trouvéé")</f>
        <v>KISANGANI - ETS SOLUTION PLUS</v>
      </c>
      <c r="F885" s="12" t="s">
        <v>262</v>
      </c>
      <c r="G885" s="14" t="s">
        <v>4</v>
      </c>
      <c r="H885" s="13">
        <v>400000</v>
      </c>
      <c r="I885" s="13">
        <v>0</v>
      </c>
      <c r="J885" s="12" t="s">
        <v>254</v>
      </c>
      <c r="K885" s="28" t="s">
        <v>263</v>
      </c>
    </row>
    <row r="886" spans="3:11" ht="15.5" thickTop="1" thickBot="1" x14ac:dyDescent="0.4">
      <c r="C886" s="26" t="s">
        <v>407</v>
      </c>
      <c r="D886" s="12">
        <v>55349</v>
      </c>
      <c r="E886" s="105" t="str">
        <f>IFERROR(VLOOKUP($D886,NUMDIST[],2,FALSE),"DA Non trouvéé")</f>
        <v>ISIRO - LES AMIS</v>
      </c>
      <c r="F886" s="12" t="s">
        <v>262</v>
      </c>
      <c r="G886" s="14" t="s">
        <v>7</v>
      </c>
      <c r="H886" s="13">
        <v>399500</v>
      </c>
      <c r="I886" s="13">
        <v>0</v>
      </c>
      <c r="J886" s="12" t="s">
        <v>254</v>
      </c>
      <c r="K886" s="28" t="s">
        <v>263</v>
      </c>
    </row>
    <row r="887" spans="3:11" ht="15.5" thickTop="1" thickBot="1" x14ac:dyDescent="0.4">
      <c r="C887" s="26" t="s">
        <v>407</v>
      </c>
      <c r="D887" s="12">
        <v>36112</v>
      </c>
      <c r="E887" s="105" t="str">
        <f>IFERROR(VLOOKUP($D887,NUMDIST[],2,FALSE),"DA Non trouvéé")</f>
        <v>SUD KIVU - ETS AGRIPPINE</v>
      </c>
      <c r="F887" s="12" t="s">
        <v>262</v>
      </c>
      <c r="G887" s="14" t="s">
        <v>4</v>
      </c>
      <c r="H887" s="13">
        <v>300000</v>
      </c>
      <c r="I887" s="13">
        <v>0</v>
      </c>
      <c r="J887" s="12" t="s">
        <v>254</v>
      </c>
      <c r="K887" s="28" t="s">
        <v>263</v>
      </c>
    </row>
    <row r="888" spans="3:11" ht="15.5" thickTop="1" thickBot="1" x14ac:dyDescent="0.4">
      <c r="C888" s="26" t="s">
        <v>407</v>
      </c>
      <c r="D888" s="12">
        <v>42153</v>
      </c>
      <c r="E888" s="105" t="str">
        <f>IFERROR(VLOOKUP($D888,NUMDIST[],2,FALSE),"DA Non trouvéé")</f>
        <v>BUNIA - ETS SALEM</v>
      </c>
      <c r="F888" s="12" t="s">
        <v>262</v>
      </c>
      <c r="G888" s="14" t="s">
        <v>5</v>
      </c>
      <c r="H888" s="13">
        <v>235000</v>
      </c>
      <c r="I888" s="13">
        <v>0</v>
      </c>
      <c r="J888" s="12" t="s">
        <v>254</v>
      </c>
      <c r="K888" s="28" t="s">
        <v>263</v>
      </c>
    </row>
    <row r="889" spans="3:11" ht="15.5" thickTop="1" thickBot="1" x14ac:dyDescent="0.4">
      <c r="C889" s="26" t="s">
        <v>407</v>
      </c>
      <c r="D889" s="12">
        <v>99337</v>
      </c>
      <c r="E889" s="105" t="str">
        <f>IFERROR(VLOOKUP($D889,NUMDIST[],2,FALSE),"DA Non trouvéé")</f>
        <v>ISIRO - SHOP CHARA HOUSE</v>
      </c>
      <c r="F889" s="12" t="s">
        <v>262</v>
      </c>
      <c r="G889" s="14" t="s">
        <v>8</v>
      </c>
      <c r="H889" s="13">
        <v>1170300</v>
      </c>
      <c r="I889" s="13">
        <v>0</v>
      </c>
      <c r="J889" s="12" t="s">
        <v>254</v>
      </c>
      <c r="K889" s="28" t="s">
        <v>263</v>
      </c>
    </row>
    <row r="890" spans="3:11" ht="15.5" thickTop="1" thickBot="1" x14ac:dyDescent="0.4">
      <c r="C890" s="26" t="s">
        <v>407</v>
      </c>
      <c r="D890" s="12">
        <v>36710</v>
      </c>
      <c r="E890" s="105" t="str">
        <f>IFERROR(VLOOKUP($D890,NUMDIST[],2,FALSE),"DA Non trouvéé")</f>
        <v>BUNIA - BOUTIQUE JPS DM</v>
      </c>
      <c r="F890" s="12" t="s">
        <v>262</v>
      </c>
      <c r="G890" s="14" t="s">
        <v>19</v>
      </c>
      <c r="H890" s="13">
        <v>3270300</v>
      </c>
      <c r="I890" s="13">
        <v>0</v>
      </c>
      <c r="J890" s="12" t="s">
        <v>254</v>
      </c>
      <c r="K890" s="28" t="s">
        <v>263</v>
      </c>
    </row>
    <row r="891" spans="3:11" ht="15.5" thickTop="1" thickBot="1" x14ac:dyDescent="0.4">
      <c r="C891" s="26" t="s">
        <v>407</v>
      </c>
      <c r="D891" s="12">
        <v>102554</v>
      </c>
      <c r="E891" s="105" t="str">
        <f>IFERROR(VLOOKUP($D891,NUMDIST[],2,FALSE),"DA Non trouvéé")</f>
        <v>KANYASI - ZITONO SHOP</v>
      </c>
      <c r="F891" s="12" t="s">
        <v>262</v>
      </c>
      <c r="G891" s="14" t="s">
        <v>19</v>
      </c>
      <c r="H891" s="13">
        <v>235000</v>
      </c>
      <c r="I891" s="13">
        <v>0</v>
      </c>
      <c r="J891" s="12" t="s">
        <v>254</v>
      </c>
      <c r="K891" s="28" t="s">
        <v>263</v>
      </c>
    </row>
    <row r="892" spans="3:11" ht="15.5" thickTop="1" thickBot="1" x14ac:dyDescent="0.4">
      <c r="C892" s="26" t="s">
        <v>407</v>
      </c>
      <c r="D892" s="12">
        <v>36431</v>
      </c>
      <c r="E892" s="105" t="str">
        <f>IFERROR(VLOOKUP($D892,NUMDIST[],2,FALSE),"DA Non trouvéé")</f>
        <v>Isiro - MACAMPAGNE</v>
      </c>
      <c r="F892" s="12" t="s">
        <v>262</v>
      </c>
      <c r="G892" s="14" t="s">
        <v>8</v>
      </c>
      <c r="H892" s="13">
        <v>705250</v>
      </c>
      <c r="I892" s="13">
        <v>0</v>
      </c>
      <c r="J892" s="12" t="s">
        <v>254</v>
      </c>
      <c r="K892" s="28" t="s">
        <v>263</v>
      </c>
    </row>
    <row r="893" spans="3:11" ht="15.5" thickTop="1" thickBot="1" x14ac:dyDescent="0.4">
      <c r="C893" s="26" t="s">
        <v>407</v>
      </c>
      <c r="D893" s="12">
        <v>90180</v>
      </c>
      <c r="E893" s="105" t="str">
        <f>IFERROR(VLOOKUP($D893,NUMDIST[],2,FALSE),"DA Non trouvéé")</f>
        <v>BUNIA - ETS DON BENIT</v>
      </c>
      <c r="F893" s="12" t="s">
        <v>262</v>
      </c>
      <c r="G893" s="14" t="s">
        <v>19</v>
      </c>
      <c r="H893" s="13">
        <v>282000</v>
      </c>
      <c r="I893" s="13">
        <v>0</v>
      </c>
      <c r="J893" s="12" t="s">
        <v>254</v>
      </c>
      <c r="K893" s="28" t="s">
        <v>263</v>
      </c>
    </row>
    <row r="894" spans="3:11" ht="15.5" thickTop="1" thickBot="1" x14ac:dyDescent="0.4">
      <c r="C894" s="29" t="s">
        <v>407</v>
      </c>
      <c r="D894" s="83">
        <v>108465</v>
      </c>
      <c r="E894" s="106" t="str">
        <f>IFERROR(VLOOKUP($D894,NUMDIST[],2,FALSE),"DA Non trouvéé")</f>
        <v>BUKAVU  ALPHA BUSNESS JPS</v>
      </c>
      <c r="F894" s="30" t="s">
        <v>262</v>
      </c>
      <c r="G894" s="31" t="s">
        <v>6</v>
      </c>
      <c r="H894" s="13">
        <v>235000</v>
      </c>
      <c r="I894" s="13">
        <v>0</v>
      </c>
      <c r="J894" s="30" t="s">
        <v>15</v>
      </c>
      <c r="K894" s="37" t="s">
        <v>263</v>
      </c>
    </row>
    <row r="895" spans="3:11" ht="15.5" thickTop="1" thickBot="1" x14ac:dyDescent="0.4">
      <c r="C895" s="29" t="s">
        <v>407</v>
      </c>
      <c r="D895" s="30">
        <v>90156</v>
      </c>
      <c r="E895" s="106" t="str">
        <f>IFERROR(VLOOKUP($D895,NUMDIST[],2,FALSE),"DA Non trouvéé")</f>
        <v>GOMA - ETS ADONIS</v>
      </c>
      <c r="F895" s="30" t="s">
        <v>262</v>
      </c>
      <c r="G895" s="31" t="s">
        <v>5</v>
      </c>
      <c r="H895" s="13">
        <v>470000</v>
      </c>
      <c r="I895" s="13">
        <v>0</v>
      </c>
      <c r="J895" s="30" t="s">
        <v>254</v>
      </c>
      <c r="K895" s="37" t="s">
        <v>263</v>
      </c>
    </row>
    <row r="896" spans="3:11" ht="15.5" thickTop="1" thickBot="1" x14ac:dyDescent="0.4">
      <c r="C896" s="29" t="s">
        <v>407</v>
      </c>
      <c r="D896" s="30">
        <v>91775</v>
      </c>
      <c r="E896" s="106" t="str">
        <f>IFERROR(VLOOKUP($D896,NUMDIST[],2,FALSE),"DA Non trouvéé")</f>
        <v>MAHAGI - MAISON DIGITAL</v>
      </c>
      <c r="F896" s="30" t="s">
        <v>262</v>
      </c>
      <c r="G896" s="31" t="s">
        <v>8</v>
      </c>
      <c r="H896" s="13">
        <v>198600</v>
      </c>
      <c r="I896" s="13">
        <v>0</v>
      </c>
      <c r="J896" s="30" t="s">
        <v>254</v>
      </c>
      <c r="K896" s="37" t="s">
        <v>263</v>
      </c>
    </row>
    <row r="897" spans="3:11" ht="15.5" thickTop="1" thickBot="1" x14ac:dyDescent="0.4">
      <c r="C897" s="29" t="s">
        <v>407</v>
      </c>
      <c r="D897" s="30">
        <v>91775</v>
      </c>
      <c r="E897" s="106" t="str">
        <f>IFERROR(VLOOKUP($D897,NUMDIST[],2,FALSE),"DA Non trouvéé")</f>
        <v>MAHAGI - MAISON DIGITAL</v>
      </c>
      <c r="F897" s="30" t="s">
        <v>262</v>
      </c>
      <c r="G897" s="31" t="s">
        <v>8</v>
      </c>
      <c r="H897" s="13">
        <v>564000</v>
      </c>
      <c r="I897" s="13">
        <v>0</v>
      </c>
      <c r="J897" s="30" t="s">
        <v>254</v>
      </c>
      <c r="K897" s="37" t="s">
        <v>263</v>
      </c>
    </row>
    <row r="898" spans="3:11" ht="15.5" thickTop="1" thickBot="1" x14ac:dyDescent="0.4">
      <c r="C898" s="29" t="s">
        <v>407</v>
      </c>
      <c r="D898" s="30">
        <v>103980</v>
      </c>
      <c r="E898" s="106" t="str">
        <f>IFERROR(VLOOKUP($D898,NUMDIST[],2,FALSE),"DA Non trouvéé")</f>
        <v>ETABLISSEMENT GABRIELLA</v>
      </c>
      <c r="F898" s="30" t="s">
        <v>262</v>
      </c>
      <c r="G898" s="31" t="s">
        <v>5</v>
      </c>
      <c r="H898" s="13">
        <v>164500</v>
      </c>
      <c r="I898" s="13">
        <v>0</v>
      </c>
      <c r="J898" s="30" t="s">
        <v>254</v>
      </c>
      <c r="K898" s="37" t="s">
        <v>263</v>
      </c>
    </row>
    <row r="899" spans="3:11" ht="15.5" thickTop="1" thickBot="1" x14ac:dyDescent="0.4">
      <c r="C899" s="29" t="s">
        <v>407</v>
      </c>
      <c r="D899" s="30">
        <v>36431</v>
      </c>
      <c r="E899" s="106" t="str">
        <f>IFERROR(VLOOKUP($D899,NUMDIST[],2,FALSE),"DA Non trouvéé")</f>
        <v>Isiro - MACAMPAGNE</v>
      </c>
      <c r="F899" s="30" t="s">
        <v>262</v>
      </c>
      <c r="G899" s="31" t="s">
        <v>8</v>
      </c>
      <c r="H899" s="13">
        <v>235000</v>
      </c>
      <c r="I899" s="13">
        <v>0</v>
      </c>
      <c r="J899" s="30" t="s">
        <v>254</v>
      </c>
      <c r="K899" s="37" t="s">
        <v>263</v>
      </c>
    </row>
    <row r="900" spans="3:11" ht="15.5" thickTop="1" thickBot="1" x14ac:dyDescent="0.4">
      <c r="C900" s="29" t="s">
        <v>407</v>
      </c>
      <c r="D900" s="30">
        <v>34597</v>
      </c>
      <c r="E900" s="106" t="str">
        <f>IFERROR(VLOOKUP($D900,NUMDIST[],2,FALSE),"DA Non trouvéé")</f>
        <v>ETABLISSEMENT-  JPS DM BIGO</v>
      </c>
      <c r="F900" s="30" t="s">
        <v>262</v>
      </c>
      <c r="G900" s="31" t="s">
        <v>7</v>
      </c>
      <c r="H900" s="13">
        <v>553000</v>
      </c>
      <c r="I900" s="13">
        <v>0</v>
      </c>
      <c r="J900" s="30" t="s">
        <v>254</v>
      </c>
      <c r="K900" s="37" t="s">
        <v>263</v>
      </c>
    </row>
    <row r="901" spans="3:11" ht="15.5" thickTop="1" thickBot="1" x14ac:dyDescent="0.4">
      <c r="C901" s="29" t="s">
        <v>407</v>
      </c>
      <c r="D901" s="30">
        <v>90173</v>
      </c>
      <c r="E901" s="106" t="str">
        <f>IFERROR(VLOOKUP($D901,NUMDIST[],2,FALSE),"DA Non trouvéé")</f>
        <v>BUNIA - ZI BUSINESS</v>
      </c>
      <c r="F901" s="30" t="s">
        <v>262</v>
      </c>
      <c r="G901" s="31" t="s">
        <v>19</v>
      </c>
      <c r="H901" s="13">
        <v>239500</v>
      </c>
      <c r="I901" s="13">
        <v>0</v>
      </c>
      <c r="J901" s="30" t="s">
        <v>254</v>
      </c>
      <c r="K901" s="37" t="s">
        <v>263</v>
      </c>
    </row>
    <row r="902" spans="3:11" ht="15.5" thickTop="1" thickBot="1" x14ac:dyDescent="0.4">
      <c r="C902" s="29" t="s">
        <v>407</v>
      </c>
      <c r="D902" s="30">
        <v>107116</v>
      </c>
      <c r="E902" s="106" t="str">
        <f>IFERROR(VLOOKUP($D902,NUMDIST[],2,FALSE),"DA Non trouvéé")</f>
        <v>SKT - SARAMBWE TRANSFERT</v>
      </c>
      <c r="F902" s="30" t="s">
        <v>262</v>
      </c>
      <c r="G902" s="31" t="s">
        <v>7</v>
      </c>
      <c r="H902" s="13">
        <v>235000</v>
      </c>
      <c r="I902" s="13">
        <v>0</v>
      </c>
      <c r="J902" s="30" t="s">
        <v>254</v>
      </c>
      <c r="K902" s="37" t="s">
        <v>263</v>
      </c>
    </row>
    <row r="903" spans="3:11" ht="15.5" thickTop="1" thickBot="1" x14ac:dyDescent="0.4">
      <c r="C903" s="29" t="s">
        <v>407</v>
      </c>
      <c r="D903" s="30">
        <v>55350</v>
      </c>
      <c r="E903" s="106" t="str">
        <f>IFERROR(VLOOKUP($D903,NUMDIST[],2,FALSE),"DA Non trouvéé")</f>
        <v>OICHA - CLINIQUE ORDINATEURS</v>
      </c>
      <c r="F903" s="30" t="s">
        <v>262</v>
      </c>
      <c r="G903" s="31" t="s">
        <v>5</v>
      </c>
      <c r="H903" s="13">
        <v>263200</v>
      </c>
      <c r="I903" s="13">
        <v>0</v>
      </c>
      <c r="J903" s="30" t="s">
        <v>254</v>
      </c>
      <c r="K903" s="37" t="s">
        <v>263</v>
      </c>
    </row>
    <row r="904" spans="3:11" ht="15.5" thickTop="1" thickBot="1" x14ac:dyDescent="0.4">
      <c r="C904" s="29" t="s">
        <v>407</v>
      </c>
      <c r="D904" s="30">
        <v>36272</v>
      </c>
      <c r="E904" s="106" t="str">
        <f>IFERROR(VLOOKUP($D904,NUMDIST[],2,FALSE),"DA Non trouvéé")</f>
        <v>BUNIA - JPS DM</v>
      </c>
      <c r="F904" s="30" t="s">
        <v>273</v>
      </c>
      <c r="G904" s="31" t="s">
        <v>8</v>
      </c>
      <c r="H904" s="13">
        <v>0</v>
      </c>
      <c r="I904" s="13">
        <v>91250500</v>
      </c>
      <c r="J904" s="30" t="s">
        <v>254</v>
      </c>
      <c r="K904" s="37" t="s">
        <v>276</v>
      </c>
    </row>
    <row r="905" spans="3:11" ht="15.5" thickTop="1" thickBot="1" x14ac:dyDescent="0.4">
      <c r="C905" s="29" t="s">
        <v>408</v>
      </c>
      <c r="D905" s="30">
        <v>59057</v>
      </c>
      <c r="E905" s="106" t="str">
        <f>IFERROR(VLOOKUP($D905,NUMDIST[],2,FALSE),"DA Non trouvéé")</f>
        <v>ITURI - ETS BJSE</v>
      </c>
      <c r="F905" s="30" t="s">
        <v>262</v>
      </c>
      <c r="G905" s="31" t="s">
        <v>6</v>
      </c>
      <c r="H905" s="13">
        <v>1175000</v>
      </c>
      <c r="I905" s="13">
        <v>0</v>
      </c>
      <c r="J905" s="30" t="s">
        <v>15</v>
      </c>
      <c r="K905" s="37" t="s">
        <v>263</v>
      </c>
    </row>
    <row r="906" spans="3:11" ht="15.5" thickTop="1" thickBot="1" x14ac:dyDescent="0.4">
      <c r="C906" s="29" t="s">
        <v>408</v>
      </c>
      <c r="D906" s="30">
        <v>91404</v>
      </c>
      <c r="E906" s="106" t="str">
        <f>IFERROR(VLOOKUP($D906,NUMDIST[],2,FALSE),"DA Non trouvéé")</f>
        <v>GOMA - SHOP GOMA</v>
      </c>
      <c r="F906" s="30" t="s">
        <v>262</v>
      </c>
      <c r="G906" s="31" t="s">
        <v>5</v>
      </c>
      <c r="H906" s="13">
        <v>238525</v>
      </c>
      <c r="I906" s="13">
        <v>0</v>
      </c>
      <c r="J906" s="30" t="s">
        <v>254</v>
      </c>
      <c r="K906" s="37" t="s">
        <v>263</v>
      </c>
    </row>
    <row r="907" spans="3:11" ht="15.5" thickTop="1" thickBot="1" x14ac:dyDescent="0.4">
      <c r="C907" s="29" t="s">
        <v>408</v>
      </c>
      <c r="D907" s="30">
        <v>95818</v>
      </c>
      <c r="E907" s="106" t="str">
        <f>IFERROR(VLOOKUP($D907,NUMDIST[],2,FALSE),"DA Non trouvéé")</f>
        <v>BUNIA - SHOP BLESSING</v>
      </c>
      <c r="F907" s="30" t="s">
        <v>262</v>
      </c>
      <c r="G907" s="31" t="s">
        <v>6</v>
      </c>
      <c r="H907" s="13">
        <v>235000</v>
      </c>
      <c r="I907" s="13">
        <v>0</v>
      </c>
      <c r="J907" s="30" t="s">
        <v>15</v>
      </c>
      <c r="K907" s="37" t="s">
        <v>263</v>
      </c>
    </row>
    <row r="908" spans="3:11" ht="15.5" thickTop="1" thickBot="1" x14ac:dyDescent="0.4">
      <c r="C908" s="29" t="s">
        <v>408</v>
      </c>
      <c r="D908" s="30">
        <v>79743</v>
      </c>
      <c r="E908" s="106" t="str">
        <f>IFERROR(VLOOKUP($D908,NUMDIST[],2,FALSE),"DA Non trouvéé")</f>
        <v>KASINDI - SHOP ROLKO</v>
      </c>
      <c r="F908" s="30" t="s">
        <v>262</v>
      </c>
      <c r="G908" s="31" t="s">
        <v>5</v>
      </c>
      <c r="H908" s="13">
        <v>282000</v>
      </c>
      <c r="I908" s="13">
        <v>0</v>
      </c>
      <c r="J908" s="30" t="s">
        <v>254</v>
      </c>
      <c r="K908" s="37" t="s">
        <v>263</v>
      </c>
    </row>
    <row r="909" spans="3:11" ht="15.5" thickTop="1" thickBot="1" x14ac:dyDescent="0.4">
      <c r="C909" s="29" t="s">
        <v>408</v>
      </c>
      <c r="D909" s="30">
        <v>107116</v>
      </c>
      <c r="E909" s="106" t="str">
        <f>IFERROR(VLOOKUP($D909,NUMDIST[],2,FALSE),"DA Non trouvéé")</f>
        <v>SKT - SARAMBWE TRANSFERT</v>
      </c>
      <c r="F909" s="30" t="s">
        <v>262</v>
      </c>
      <c r="G909" s="31" t="s">
        <v>7</v>
      </c>
      <c r="H909" s="13">
        <v>235000</v>
      </c>
      <c r="I909" s="13">
        <v>0</v>
      </c>
      <c r="J909" s="30" t="s">
        <v>254</v>
      </c>
      <c r="K909" s="37" t="s">
        <v>263</v>
      </c>
    </row>
    <row r="910" spans="3:11" ht="15.5" thickTop="1" thickBot="1" x14ac:dyDescent="0.4">
      <c r="C910" s="29" t="s">
        <v>408</v>
      </c>
      <c r="D910" s="30">
        <v>95823</v>
      </c>
      <c r="E910" s="106" t="str">
        <f>IFERROR(VLOOKUP($D910,NUMDIST[],2,FALSE),"DA Non trouvéé")</f>
        <v>BUNIA - ETS CANAL BIA</v>
      </c>
      <c r="F910" s="30" t="s">
        <v>262</v>
      </c>
      <c r="G910" s="31" t="s">
        <v>6</v>
      </c>
      <c r="H910" s="13">
        <v>235000</v>
      </c>
      <c r="I910" s="13">
        <v>0</v>
      </c>
      <c r="J910" s="30" t="s">
        <v>15</v>
      </c>
      <c r="K910" s="37" t="s">
        <v>263</v>
      </c>
    </row>
    <row r="911" spans="3:11" ht="15.5" thickTop="1" thickBot="1" x14ac:dyDescent="0.4">
      <c r="C911" s="29" t="s">
        <v>408</v>
      </c>
      <c r="D911" s="30">
        <v>87500</v>
      </c>
      <c r="E911" s="106" t="str">
        <f>IFERROR(VLOOKUP($D911,NUMDIST[],2,FALSE),"DA Non trouvéé")</f>
        <v>BUNIA - ETS DIEU MERCI</v>
      </c>
      <c r="F911" s="30" t="s">
        <v>262</v>
      </c>
      <c r="G911" s="31" t="s">
        <v>19</v>
      </c>
      <c r="H911" s="13">
        <v>154000</v>
      </c>
      <c r="I911" s="13">
        <v>0</v>
      </c>
      <c r="J911" s="30" t="s">
        <v>254</v>
      </c>
      <c r="K911" s="37" t="s">
        <v>263</v>
      </c>
    </row>
    <row r="912" spans="3:11" ht="15.5" thickTop="1" thickBot="1" x14ac:dyDescent="0.4">
      <c r="C912" s="29" t="s">
        <v>408</v>
      </c>
      <c r="D912" s="30">
        <v>42153</v>
      </c>
      <c r="E912" s="106" t="str">
        <f>IFERROR(VLOOKUP($D912,NUMDIST[],2,FALSE),"DA Non trouvéé")</f>
        <v>BUNIA - ETS SALEM</v>
      </c>
      <c r="F912" s="30" t="s">
        <v>262</v>
      </c>
      <c r="G912" s="31" t="s">
        <v>5</v>
      </c>
      <c r="H912" s="13">
        <v>235000</v>
      </c>
      <c r="I912" s="13">
        <v>0</v>
      </c>
      <c r="J912" s="30" t="s">
        <v>254</v>
      </c>
      <c r="K912" s="37" t="s">
        <v>263</v>
      </c>
    </row>
    <row r="913" spans="3:11" ht="15.5" thickTop="1" thickBot="1" x14ac:dyDescent="0.4">
      <c r="C913" s="29" t="s">
        <v>408</v>
      </c>
      <c r="D913" s="30">
        <v>85827</v>
      </c>
      <c r="E913" s="106" t="str">
        <f>IFERROR(VLOOKUP($D913,NUMDIST[],2,FALSE),"DA Non trouvéé")</f>
        <v>KISANGANI - SHOP LA GRACE</v>
      </c>
      <c r="F913" s="30" t="s">
        <v>262</v>
      </c>
      <c r="G913" s="31" t="s">
        <v>4</v>
      </c>
      <c r="H913" s="13">
        <v>470000</v>
      </c>
      <c r="I913" s="13">
        <v>0</v>
      </c>
      <c r="J913" s="30" t="s">
        <v>254</v>
      </c>
      <c r="K913" s="37" t="s">
        <v>263</v>
      </c>
    </row>
    <row r="914" spans="3:11" ht="15.5" thickTop="1" thickBot="1" x14ac:dyDescent="0.4">
      <c r="C914" s="29" t="s">
        <v>408</v>
      </c>
      <c r="D914" s="30">
        <v>55351</v>
      </c>
      <c r="E914" s="106" t="str">
        <f>IFERROR(VLOOKUP($D914,NUMDIST[],2,FALSE),"DA Non trouvéé")</f>
        <v>ITURI - PARADOXE BUSINESS</v>
      </c>
      <c r="F914" s="30" t="s">
        <v>262</v>
      </c>
      <c r="G914" s="31" t="s">
        <v>8</v>
      </c>
      <c r="H914" s="13">
        <v>940000</v>
      </c>
      <c r="I914" s="13">
        <v>0</v>
      </c>
      <c r="J914" s="30" t="s">
        <v>254</v>
      </c>
      <c r="K914" s="37" t="s">
        <v>263</v>
      </c>
    </row>
    <row r="915" spans="3:11" ht="15.5" thickTop="1" thickBot="1" x14ac:dyDescent="0.4">
      <c r="C915" s="29" t="s">
        <v>408</v>
      </c>
      <c r="D915" s="30">
        <v>42152</v>
      </c>
      <c r="E915" s="106" t="str">
        <f>IFERROR(VLOOKUP($D915,NUMDIST[],2,FALSE),"DA Non trouvéé")</f>
        <v>Bunia - Ets SKY</v>
      </c>
      <c r="F915" s="30" t="s">
        <v>262</v>
      </c>
      <c r="G915" s="31" t="s">
        <v>4</v>
      </c>
      <c r="H915" s="13">
        <v>434500</v>
      </c>
      <c r="I915" s="13">
        <v>0</v>
      </c>
      <c r="J915" s="30" t="s">
        <v>254</v>
      </c>
      <c r="K915" s="37" t="s">
        <v>263</v>
      </c>
    </row>
    <row r="916" spans="3:11" ht="15.5" thickTop="1" thickBot="1" x14ac:dyDescent="0.4">
      <c r="C916" s="29" t="s">
        <v>408</v>
      </c>
      <c r="D916" s="83">
        <v>108553</v>
      </c>
      <c r="E916" s="106" t="str">
        <f>IFERROR(VLOOKUP($D916,NUMDIST[],2,FALSE),"DA Non trouvéé")</f>
        <v>SHOP GLOIRE BUSINESS</v>
      </c>
      <c r="F916" s="30" t="s">
        <v>262</v>
      </c>
      <c r="G916" s="31" t="s">
        <v>5</v>
      </c>
      <c r="H916" s="13">
        <v>235000</v>
      </c>
      <c r="I916" s="13">
        <v>0</v>
      </c>
      <c r="J916" s="30" t="s">
        <v>254</v>
      </c>
      <c r="K916" s="37" t="s">
        <v>263</v>
      </c>
    </row>
    <row r="917" spans="3:11" ht="15.5" thickTop="1" thickBot="1" x14ac:dyDescent="0.4">
      <c r="C917" s="29" t="s">
        <v>408</v>
      </c>
      <c r="D917" s="30">
        <v>90185</v>
      </c>
      <c r="E917" s="106" t="str">
        <f>IFERROR(VLOOKUP($D917,NUMDIST[],2,FALSE),"DA Non trouvéé")</f>
        <v>DJUGU - CHEZ ROBERT</v>
      </c>
      <c r="F917" s="30" t="s">
        <v>262</v>
      </c>
      <c r="G917" s="31" t="s">
        <v>19</v>
      </c>
      <c r="H917" s="13">
        <v>235000</v>
      </c>
      <c r="I917" s="13">
        <v>0</v>
      </c>
      <c r="J917" s="30" t="s">
        <v>254</v>
      </c>
      <c r="K917" s="37" t="s">
        <v>263</v>
      </c>
    </row>
    <row r="918" spans="3:11" ht="15.5" thickTop="1" thickBot="1" x14ac:dyDescent="0.4">
      <c r="C918" s="29" t="s">
        <v>408</v>
      </c>
      <c r="D918" s="30">
        <v>104788</v>
      </c>
      <c r="E918" s="106" t="str">
        <f>IFERROR(VLOOKUP($D918,NUMDIST[],2,FALSE),"DA Non trouvéé")</f>
        <v>BUNIA - ETS DON DE DIEU</v>
      </c>
      <c r="F918" s="30" t="s">
        <v>262</v>
      </c>
      <c r="G918" s="31" t="s">
        <v>5</v>
      </c>
      <c r="H918" s="13">
        <v>235000</v>
      </c>
      <c r="I918" s="13">
        <v>0</v>
      </c>
      <c r="J918" s="30" t="s">
        <v>254</v>
      </c>
      <c r="K918" s="37" t="s">
        <v>263</v>
      </c>
    </row>
    <row r="919" spans="3:11" ht="15.5" thickTop="1" thickBot="1" x14ac:dyDescent="0.4">
      <c r="C919" s="29" t="s">
        <v>408</v>
      </c>
      <c r="D919" s="30">
        <v>55349</v>
      </c>
      <c r="E919" s="106" t="str">
        <f>IFERROR(VLOOKUP($D919,NUMDIST[],2,FALSE),"DA Non trouvéé")</f>
        <v>ISIRO - LES AMIS</v>
      </c>
      <c r="F919" s="30" t="s">
        <v>262</v>
      </c>
      <c r="G919" s="31" t="s">
        <v>7</v>
      </c>
      <c r="H919" s="13">
        <v>517000</v>
      </c>
      <c r="I919" s="13">
        <v>0</v>
      </c>
      <c r="J919" s="30" t="s">
        <v>254</v>
      </c>
      <c r="K919" s="37" t="s">
        <v>263</v>
      </c>
    </row>
    <row r="920" spans="3:11" ht="15.5" thickTop="1" thickBot="1" x14ac:dyDescent="0.4">
      <c r="C920" s="29" t="s">
        <v>408</v>
      </c>
      <c r="D920" s="30">
        <v>71090</v>
      </c>
      <c r="E920" s="106" t="str">
        <f>IFERROR(VLOOKUP($D920,NUMDIST[],2,FALSE),"DA Non trouvéé")</f>
        <v>SHOP JULUX</v>
      </c>
      <c r="F920" s="30" t="s">
        <v>262</v>
      </c>
      <c r="G920" s="31" t="s">
        <v>6</v>
      </c>
      <c r="H920" s="13">
        <v>2350000</v>
      </c>
      <c r="I920" s="13">
        <v>0</v>
      </c>
      <c r="J920" s="30" t="s">
        <v>15</v>
      </c>
      <c r="K920" s="37" t="s">
        <v>263</v>
      </c>
    </row>
    <row r="921" spans="3:11" ht="15.5" thickTop="1" thickBot="1" x14ac:dyDescent="0.4">
      <c r="C921" s="29" t="s">
        <v>408</v>
      </c>
      <c r="D921" s="30">
        <v>85837</v>
      </c>
      <c r="E921" s="106" t="str">
        <f>IFERROR(VLOOKUP($D921,NUMDIST[],2,FALSE),"DA Non trouvéé")</f>
        <v>BENI - SHOP ESPERANCE</v>
      </c>
      <c r="F921" s="30" t="s">
        <v>262</v>
      </c>
      <c r="G921" s="31" t="s">
        <v>6</v>
      </c>
      <c r="H921" s="13">
        <v>470000</v>
      </c>
      <c r="I921" s="13">
        <v>0</v>
      </c>
      <c r="J921" s="30" t="s">
        <v>15</v>
      </c>
      <c r="K921" s="37" t="s">
        <v>263</v>
      </c>
    </row>
    <row r="922" spans="3:11" ht="15.5" thickTop="1" thickBot="1" x14ac:dyDescent="0.4">
      <c r="C922" s="29" t="s">
        <v>408</v>
      </c>
      <c r="D922" s="30">
        <v>90184</v>
      </c>
      <c r="E922" s="106" t="str">
        <f>IFERROR(VLOOKUP($D922,NUMDIST[],2,FALSE),"DA Non trouvéé")</f>
        <v>BUNIA - ETS MOISE MESO</v>
      </c>
      <c r="F922" s="30" t="s">
        <v>262</v>
      </c>
      <c r="G922" s="31" t="s">
        <v>6</v>
      </c>
      <c r="H922" s="13">
        <v>470000</v>
      </c>
      <c r="I922" s="13">
        <v>0</v>
      </c>
      <c r="J922" s="30" t="s">
        <v>15</v>
      </c>
      <c r="K922" s="37" t="s">
        <v>263</v>
      </c>
    </row>
    <row r="923" spans="3:11" ht="15.5" thickTop="1" thickBot="1" x14ac:dyDescent="0.4">
      <c r="C923" s="29" t="s">
        <v>408</v>
      </c>
      <c r="D923" s="83">
        <v>104789</v>
      </c>
      <c r="E923" s="106" t="str">
        <f>IFERROR(VLOOKUP($D923,NUMDIST[],2,FALSE),"DA Non trouvéé")</f>
        <v>WATHSA - SHOP SALEM</v>
      </c>
      <c r="F923" s="30" t="s">
        <v>262</v>
      </c>
      <c r="G923" s="31" t="s">
        <v>8</v>
      </c>
      <c r="H923" s="13">
        <v>280000</v>
      </c>
      <c r="I923" s="13">
        <v>0</v>
      </c>
      <c r="J923" s="30" t="s">
        <v>254</v>
      </c>
      <c r="K923" s="37" t="s">
        <v>263</v>
      </c>
    </row>
    <row r="924" spans="3:11" ht="15.5" thickTop="1" thickBot="1" x14ac:dyDescent="0.4">
      <c r="C924" s="29" t="s">
        <v>408</v>
      </c>
      <c r="D924" s="30">
        <v>99337</v>
      </c>
      <c r="E924" s="106" t="str">
        <f>IFERROR(VLOOKUP($D924,NUMDIST[],2,FALSE),"DA Non trouvéé")</f>
        <v>ISIRO - SHOP CHARA HOUSE</v>
      </c>
      <c r="F924" s="30" t="s">
        <v>262</v>
      </c>
      <c r="G924" s="31" t="s">
        <v>19</v>
      </c>
      <c r="H924" s="13">
        <v>305500</v>
      </c>
      <c r="I924" s="13">
        <v>0</v>
      </c>
      <c r="J924" s="30" t="s">
        <v>254</v>
      </c>
      <c r="K924" s="37" t="s">
        <v>263</v>
      </c>
    </row>
    <row r="925" spans="3:11" ht="15.5" thickTop="1" thickBot="1" x14ac:dyDescent="0.4">
      <c r="C925" s="29" t="s">
        <v>408</v>
      </c>
      <c r="D925" s="30">
        <v>34597</v>
      </c>
      <c r="E925" s="106" t="str">
        <f>IFERROR(VLOOKUP($D925,NUMDIST[],2,FALSE),"DA Non trouvéé")</f>
        <v>ETABLISSEMENT-  JPS DM BIGO</v>
      </c>
      <c r="F925" s="30" t="s">
        <v>262</v>
      </c>
      <c r="G925" s="31" t="s">
        <v>19</v>
      </c>
      <c r="H925" s="13">
        <v>376000</v>
      </c>
      <c r="I925" s="13">
        <v>0</v>
      </c>
      <c r="J925" s="30" t="s">
        <v>254</v>
      </c>
      <c r="K925" s="37" t="s">
        <v>263</v>
      </c>
    </row>
    <row r="926" spans="3:11" ht="15.5" thickTop="1" thickBot="1" x14ac:dyDescent="0.4">
      <c r="C926" s="29" t="s">
        <v>408</v>
      </c>
      <c r="D926" s="30">
        <v>36710</v>
      </c>
      <c r="E926" s="106" t="str">
        <f>IFERROR(VLOOKUP($D926,NUMDIST[],2,FALSE),"DA Non trouvéé")</f>
        <v>BUNIA - BOUTIQUE JPS DM</v>
      </c>
      <c r="F926" s="30" t="s">
        <v>262</v>
      </c>
      <c r="G926" s="31" t="s">
        <v>19</v>
      </c>
      <c r="H926" s="13">
        <v>2996600</v>
      </c>
      <c r="I926" s="13">
        <v>0</v>
      </c>
      <c r="J926" s="30" t="s">
        <v>254</v>
      </c>
      <c r="K926" s="37" t="s">
        <v>263</v>
      </c>
    </row>
    <row r="927" spans="3:11" ht="15.5" thickTop="1" thickBot="1" x14ac:dyDescent="0.4">
      <c r="C927" s="29" t="s">
        <v>408</v>
      </c>
      <c r="D927" s="30">
        <v>55350</v>
      </c>
      <c r="E927" s="106" t="str">
        <f>IFERROR(VLOOKUP($D927,NUMDIST[],2,FALSE),"DA Non trouvéé")</f>
        <v>OICHA - CLINIQUE ORDINATEURS</v>
      </c>
      <c r="F927" s="30" t="s">
        <v>262</v>
      </c>
      <c r="G927" s="31" t="s">
        <v>5</v>
      </c>
      <c r="H927" s="13">
        <v>305500</v>
      </c>
      <c r="I927" s="13">
        <v>0</v>
      </c>
      <c r="J927" s="30" t="s">
        <v>254</v>
      </c>
      <c r="K927" s="37" t="s">
        <v>263</v>
      </c>
    </row>
    <row r="928" spans="3:11" ht="15.5" thickTop="1" thickBot="1" x14ac:dyDescent="0.4">
      <c r="C928" s="29" t="s">
        <v>408</v>
      </c>
      <c r="D928" s="30">
        <v>71102</v>
      </c>
      <c r="E928" s="106" t="str">
        <f>IFERROR(VLOOKUP($D928,NUMDIST[],2,FALSE),"DA Non trouvéé")</f>
        <v>GOMA - BOUTIQUE JPS DM</v>
      </c>
      <c r="F928" s="30" t="s">
        <v>262</v>
      </c>
      <c r="G928" s="31" t="s">
        <v>5</v>
      </c>
      <c r="H928" s="13">
        <v>235000</v>
      </c>
      <c r="I928" s="13">
        <v>0</v>
      </c>
      <c r="J928" s="30" t="s">
        <v>254</v>
      </c>
      <c r="K928" s="37" t="s">
        <v>263</v>
      </c>
    </row>
    <row r="929" spans="3:11" ht="15.5" thickTop="1" thickBot="1" x14ac:dyDescent="0.4">
      <c r="C929" s="29" t="s">
        <v>408</v>
      </c>
      <c r="D929" s="30">
        <v>41317</v>
      </c>
      <c r="E929" s="106" t="str">
        <f>IFERROR(VLOOKUP($D929,NUMDIST[],2,FALSE),"DA Non trouvéé")</f>
        <v>Bukavu - Ets JPS DM BUKAVU</v>
      </c>
      <c r="F929" s="30" t="s">
        <v>262</v>
      </c>
      <c r="G929" s="31" t="s">
        <v>5</v>
      </c>
      <c r="H929" s="13">
        <v>587500</v>
      </c>
      <c r="I929" s="13">
        <v>0</v>
      </c>
      <c r="J929" s="30" t="s">
        <v>254</v>
      </c>
      <c r="K929" s="37" t="s">
        <v>263</v>
      </c>
    </row>
    <row r="930" spans="3:11" ht="15.5" thickTop="1" thickBot="1" x14ac:dyDescent="0.4">
      <c r="C930" s="29" t="s">
        <v>408</v>
      </c>
      <c r="D930" s="30">
        <v>85827</v>
      </c>
      <c r="E930" s="106" t="str">
        <f>IFERROR(VLOOKUP($D930,NUMDIST[],2,FALSE),"DA Non trouvéé")</f>
        <v>KISANGANI - SHOP LA GRACE</v>
      </c>
      <c r="F930" s="30" t="s">
        <v>262</v>
      </c>
      <c r="G930" s="31" t="s">
        <v>5</v>
      </c>
      <c r="H930" s="13">
        <v>705000</v>
      </c>
      <c r="I930" s="13">
        <v>0</v>
      </c>
      <c r="J930" s="30" t="s">
        <v>254</v>
      </c>
      <c r="K930" s="37" t="s">
        <v>263</v>
      </c>
    </row>
    <row r="931" spans="3:11" ht="15.5" thickTop="1" thickBot="1" x14ac:dyDescent="0.4">
      <c r="C931" s="29" t="s">
        <v>408</v>
      </c>
      <c r="D931" s="30">
        <v>99337</v>
      </c>
      <c r="E931" s="106" t="str">
        <f>IFERROR(VLOOKUP($D931,NUMDIST[],2,FALSE),"DA Non trouvéé")</f>
        <v>ISIRO - SHOP CHARA HOUSE</v>
      </c>
      <c r="F931" s="30" t="s">
        <v>262</v>
      </c>
      <c r="G931" s="31" t="s">
        <v>7</v>
      </c>
      <c r="H931" s="13">
        <v>619500</v>
      </c>
      <c r="I931" s="13">
        <v>0</v>
      </c>
      <c r="J931" s="30" t="s">
        <v>254</v>
      </c>
      <c r="K931" s="37" t="s">
        <v>263</v>
      </c>
    </row>
    <row r="932" spans="3:11" ht="15.5" thickTop="1" thickBot="1" x14ac:dyDescent="0.4">
      <c r="C932" s="29" t="s">
        <v>408</v>
      </c>
      <c r="D932" s="30">
        <v>34597</v>
      </c>
      <c r="E932" s="106" t="str">
        <f>IFERROR(VLOOKUP($D932,NUMDIST[],2,FALSE),"DA Non trouvéé")</f>
        <v>ETABLISSEMENT-  JPS DM BIGO</v>
      </c>
      <c r="F932" s="30" t="s">
        <v>262</v>
      </c>
      <c r="G932" s="31" t="s">
        <v>7</v>
      </c>
      <c r="H932" s="13">
        <v>611000</v>
      </c>
      <c r="I932" s="13">
        <v>0</v>
      </c>
      <c r="J932" s="30" t="s">
        <v>254</v>
      </c>
      <c r="K932" s="37" t="s">
        <v>263</v>
      </c>
    </row>
    <row r="933" spans="3:11" ht="15.5" thickTop="1" thickBot="1" x14ac:dyDescent="0.4">
      <c r="C933" s="29" t="s">
        <v>408</v>
      </c>
      <c r="D933" s="30">
        <v>71084</v>
      </c>
      <c r="E933" s="106" t="str">
        <f>IFERROR(VLOOKUP($D933,NUMDIST[],2,FALSE),"DA Non trouvéé")</f>
        <v>DURBA - Ets HUSSUMA BUSINESS</v>
      </c>
      <c r="F933" s="30" t="s">
        <v>262</v>
      </c>
      <c r="G933" s="31" t="s">
        <v>7</v>
      </c>
      <c r="H933" s="13">
        <v>8363650</v>
      </c>
      <c r="I933" s="13">
        <v>0</v>
      </c>
      <c r="J933" s="30" t="s">
        <v>254</v>
      </c>
      <c r="K933" s="37" t="s">
        <v>263</v>
      </c>
    </row>
    <row r="934" spans="3:11" ht="15.5" thickTop="1" thickBot="1" x14ac:dyDescent="0.4">
      <c r="C934" s="29" t="s">
        <v>408</v>
      </c>
      <c r="D934" s="30">
        <v>90174</v>
      </c>
      <c r="E934" s="106" t="str">
        <f>IFERROR(VLOOKUP($D934,NUMDIST[],2,FALSE),"DA Non trouvéé")</f>
        <v>MAHAGI - ETS JACQUES PLUS</v>
      </c>
      <c r="F934" s="30" t="s">
        <v>262</v>
      </c>
      <c r="G934" s="31" t="s">
        <v>5</v>
      </c>
      <c r="H934" s="13">
        <v>235000</v>
      </c>
      <c r="I934" s="13">
        <v>0</v>
      </c>
      <c r="J934" s="30" t="s">
        <v>254</v>
      </c>
      <c r="K934" s="37" t="s">
        <v>263</v>
      </c>
    </row>
    <row r="935" spans="3:11" ht="15.5" thickTop="1" thickBot="1" x14ac:dyDescent="0.4">
      <c r="C935" s="29" t="s">
        <v>408</v>
      </c>
      <c r="D935" s="30">
        <v>92122</v>
      </c>
      <c r="E935" s="106" t="str">
        <f>IFERROR(VLOOKUP($D935,NUMDIST[],2,FALSE),"DA Non trouvéé")</f>
        <v>KISANGANI - MONT GOLOGOTA</v>
      </c>
      <c r="F935" s="30" t="s">
        <v>262</v>
      </c>
      <c r="G935" s="31" t="s">
        <v>5</v>
      </c>
      <c r="H935" s="13">
        <v>470000</v>
      </c>
      <c r="I935" s="13">
        <v>0</v>
      </c>
      <c r="J935" s="30" t="s">
        <v>254</v>
      </c>
      <c r="K935" s="37" t="s">
        <v>263</v>
      </c>
    </row>
    <row r="936" spans="3:11" ht="15.5" thickTop="1" thickBot="1" x14ac:dyDescent="0.4">
      <c r="C936" s="29" t="s">
        <v>408</v>
      </c>
      <c r="D936" s="30">
        <v>36433</v>
      </c>
      <c r="E936" s="106" t="str">
        <f>IFERROR(VLOOKUP($D936,NUMDIST[],2,FALSE),"DA Non trouvéé")</f>
        <v>BUNIA - CHEZ JUSTIN</v>
      </c>
      <c r="F936" s="30" t="s">
        <v>262</v>
      </c>
      <c r="G936" s="31" t="s">
        <v>7</v>
      </c>
      <c r="H936" s="13">
        <v>2350000</v>
      </c>
      <c r="I936" s="13">
        <v>0</v>
      </c>
      <c r="J936" s="30" t="s">
        <v>254</v>
      </c>
      <c r="K936" s="37" t="s">
        <v>263</v>
      </c>
    </row>
    <row r="937" spans="3:11" ht="15.5" thickTop="1" thickBot="1" x14ac:dyDescent="0.4">
      <c r="C937" s="29" t="s">
        <v>408</v>
      </c>
      <c r="D937" s="83">
        <v>108506</v>
      </c>
      <c r="E937" s="106" t="str">
        <f>IFERROR(VLOOKUP($D937,NUMDIST[],2,FALSE),"DA Non trouvéé")</f>
        <v>GOMA  JPS SHOP BREM BUSINESS</v>
      </c>
      <c r="F937" s="30" t="s">
        <v>262</v>
      </c>
      <c r="G937" s="31" t="s">
        <v>5</v>
      </c>
      <c r="H937" s="13">
        <v>352500</v>
      </c>
      <c r="I937" s="13">
        <v>0</v>
      </c>
      <c r="J937" s="30" t="s">
        <v>254</v>
      </c>
      <c r="K937" s="37" t="s">
        <v>263</v>
      </c>
    </row>
    <row r="938" spans="3:11" ht="15.5" thickTop="1" thickBot="1" x14ac:dyDescent="0.4">
      <c r="C938" s="29" t="s">
        <v>408</v>
      </c>
      <c r="D938" s="30">
        <v>90164</v>
      </c>
      <c r="E938" s="106" t="str">
        <f>IFERROR(VLOOKUP($D938,NUMDIST[],2,FALSE),"DA Non trouvéé")</f>
        <v>BUNIA - ALPHA SHOP</v>
      </c>
      <c r="F938" s="30" t="s">
        <v>262</v>
      </c>
      <c r="G938" s="31" t="s">
        <v>4</v>
      </c>
      <c r="H938" s="13">
        <v>470000</v>
      </c>
      <c r="I938" s="13">
        <v>0</v>
      </c>
      <c r="J938" s="30" t="s">
        <v>254</v>
      </c>
      <c r="K938" s="37" t="s">
        <v>263</v>
      </c>
    </row>
    <row r="939" spans="3:11" ht="15.5" thickTop="1" thickBot="1" x14ac:dyDescent="0.4">
      <c r="C939" s="29" t="s">
        <v>408</v>
      </c>
      <c r="D939" s="83">
        <v>108550</v>
      </c>
      <c r="E939" s="106" t="str">
        <f>IFERROR(VLOOKUP($D939,NUMDIST[],2,FALSE),"DA Non trouvéé")</f>
        <v>KASENYI - ETS MUNGU NJO CHEF</v>
      </c>
      <c r="F939" s="30" t="s">
        <v>262</v>
      </c>
      <c r="G939" s="31" t="s">
        <v>4</v>
      </c>
      <c r="H939" s="13">
        <v>235000</v>
      </c>
      <c r="I939" s="13">
        <v>0</v>
      </c>
      <c r="J939" s="30" t="s">
        <v>254</v>
      </c>
      <c r="K939" s="37" t="s">
        <v>263</v>
      </c>
    </row>
    <row r="940" spans="3:11" ht="15.5" thickTop="1" thickBot="1" x14ac:dyDescent="0.4">
      <c r="C940" s="29" t="s">
        <v>408</v>
      </c>
      <c r="D940" s="30">
        <v>106295</v>
      </c>
      <c r="E940" s="106" t="str">
        <f>IFERROR(VLOOKUP($D940,NUMDIST[],2,FALSE),"DA Non trouvéé")</f>
        <v>SHARI - SHOP DIEU MOI</v>
      </c>
      <c r="F940" s="30" t="s">
        <v>262</v>
      </c>
      <c r="G940" s="31" t="s">
        <v>4</v>
      </c>
      <c r="H940" s="13">
        <v>352500</v>
      </c>
      <c r="I940" s="13">
        <v>0</v>
      </c>
      <c r="J940" s="30" t="s">
        <v>254</v>
      </c>
      <c r="K940" s="37" t="s">
        <v>263</v>
      </c>
    </row>
    <row r="941" spans="3:11" ht="15.5" thickTop="1" thickBot="1" x14ac:dyDescent="0.4">
      <c r="C941" s="29" t="s">
        <v>408</v>
      </c>
      <c r="D941" s="30">
        <v>91398</v>
      </c>
      <c r="E941" s="106" t="str">
        <f>IFERROR(VLOOKUP($D941,NUMDIST[],2,FALSE),"DA Non trouvéé")</f>
        <v>GOMA - YEKAYA BUSINESS</v>
      </c>
      <c r="F941" s="30" t="s">
        <v>262</v>
      </c>
      <c r="G941" s="31" t="s">
        <v>5</v>
      </c>
      <c r="H941" s="13">
        <v>235000</v>
      </c>
      <c r="I941" s="13">
        <v>0</v>
      </c>
      <c r="J941" s="30" t="s">
        <v>254</v>
      </c>
      <c r="K941" s="37" t="s">
        <v>263</v>
      </c>
    </row>
    <row r="942" spans="3:11" ht="15.5" thickTop="1" thickBot="1" x14ac:dyDescent="0.4">
      <c r="C942" s="29" t="s">
        <v>408</v>
      </c>
      <c r="D942" s="30">
        <v>91399</v>
      </c>
      <c r="E942" s="106" t="str">
        <f>IFERROR(VLOOKUP($D942,NUMDIST[],2,FALSE),"DA Non trouvéé")</f>
        <v>GOMA - SHOP SIKJOE</v>
      </c>
      <c r="F942" s="30" t="s">
        <v>262</v>
      </c>
      <c r="G942" s="31" t="s">
        <v>5</v>
      </c>
      <c r="H942" s="13">
        <v>235000</v>
      </c>
      <c r="I942" s="13">
        <v>0</v>
      </c>
      <c r="J942" s="30" t="s">
        <v>254</v>
      </c>
      <c r="K942" s="37" t="s">
        <v>263</v>
      </c>
    </row>
    <row r="943" spans="3:11" ht="15.5" thickTop="1" thickBot="1" x14ac:dyDescent="0.4">
      <c r="C943" s="29"/>
      <c r="D943" s="30"/>
      <c r="E943" s="106" t="str">
        <f>IFERROR(VLOOKUP($D943,NUMDIST[],2,FALSE),"DA Non trouvéé")</f>
        <v>DA Non trouvéé</v>
      </c>
      <c r="F943" s="30"/>
      <c r="G943" s="31"/>
      <c r="H943" s="13">
        <v>0</v>
      </c>
      <c r="I943" s="13">
        <v>0</v>
      </c>
      <c r="J943" s="30"/>
      <c r="K943" s="37"/>
    </row>
    <row r="944" spans="3:11" ht="15.5" thickTop="1" thickBot="1" x14ac:dyDescent="0.4">
      <c r="C944" s="29"/>
      <c r="D944" s="30"/>
      <c r="E944" s="106" t="str">
        <f>IFERROR(VLOOKUP($D944,NUMDIST[],2,FALSE),"DA Non trouvéé")</f>
        <v>DA Non trouvéé</v>
      </c>
      <c r="F944" s="30"/>
      <c r="G944" s="31"/>
      <c r="H944" s="13">
        <v>0</v>
      </c>
      <c r="I944" s="13">
        <v>0</v>
      </c>
      <c r="J944" s="30"/>
      <c r="K944" s="37"/>
    </row>
    <row r="945" spans="3:11" ht="15.5" thickTop="1" thickBot="1" x14ac:dyDescent="0.4">
      <c r="C945" s="29"/>
      <c r="D945" s="30"/>
      <c r="E945" s="106" t="str">
        <f>IFERROR(VLOOKUP($D945,NUMDIST[],2,FALSE),"DA Non trouvéé")</f>
        <v>DA Non trouvéé</v>
      </c>
      <c r="F945" s="30"/>
      <c r="G945" s="31"/>
      <c r="H945" s="13">
        <v>0</v>
      </c>
      <c r="I945" s="13">
        <v>0</v>
      </c>
      <c r="J945" s="30"/>
      <c r="K945" s="37"/>
    </row>
    <row r="946" spans="3:11" ht="15.5" thickTop="1" thickBot="1" x14ac:dyDescent="0.4">
      <c r="C946" s="29"/>
      <c r="D946" s="30"/>
      <c r="E946" s="106" t="str">
        <f>IFERROR(VLOOKUP($D946,NUMDIST[],2,FALSE),"DA Non trouvéé")</f>
        <v>DA Non trouvéé</v>
      </c>
      <c r="F946" s="30"/>
      <c r="G946" s="31"/>
      <c r="H946" s="13">
        <v>0</v>
      </c>
      <c r="I946" s="13">
        <v>0</v>
      </c>
      <c r="J946" s="30"/>
      <c r="K946" s="37"/>
    </row>
    <row r="947" spans="3:11" ht="15.5" thickTop="1" thickBot="1" x14ac:dyDescent="0.4">
      <c r="C947" s="29"/>
      <c r="D947" s="30"/>
      <c r="E947" s="106" t="str">
        <f>IFERROR(VLOOKUP($D947,NUMDIST[],2,FALSE),"DA Non trouvéé")</f>
        <v>DA Non trouvéé</v>
      </c>
      <c r="F947" s="30"/>
      <c r="G947" s="31"/>
      <c r="H947" s="13">
        <v>0</v>
      </c>
      <c r="I947" s="13">
        <v>0</v>
      </c>
      <c r="J947" s="30"/>
      <c r="K947" s="37"/>
    </row>
    <row r="948" spans="3:11" ht="15.5" thickTop="1" thickBot="1" x14ac:dyDescent="0.4">
      <c r="C948" s="29"/>
      <c r="D948" s="30"/>
      <c r="E948" s="106" t="str">
        <f>IFERROR(VLOOKUP($D948,NUMDIST[],2,FALSE),"DA Non trouvéé")</f>
        <v>DA Non trouvéé</v>
      </c>
      <c r="F948" s="30"/>
      <c r="G948" s="31"/>
      <c r="H948" s="13">
        <v>0</v>
      </c>
      <c r="I948" s="13">
        <v>0</v>
      </c>
      <c r="J948" s="30"/>
      <c r="K948" s="37"/>
    </row>
    <row r="949" spans="3:11" ht="15.5" thickTop="1" thickBot="1" x14ac:dyDescent="0.4">
      <c r="C949" s="29"/>
      <c r="D949" s="30"/>
      <c r="E949" s="106" t="str">
        <f>IFERROR(VLOOKUP($D949,NUMDIST[],2,FALSE),"DA Non trouvéé")</f>
        <v>DA Non trouvéé</v>
      </c>
      <c r="F949" s="30"/>
      <c r="G949" s="31"/>
      <c r="H949" s="13">
        <v>0</v>
      </c>
      <c r="I949" s="13">
        <v>0</v>
      </c>
      <c r="J949" s="30"/>
      <c r="K949" s="37"/>
    </row>
    <row r="950" spans="3:11" ht="15.5" thickTop="1" thickBot="1" x14ac:dyDescent="0.4">
      <c r="C950" s="29"/>
      <c r="D950" s="30"/>
      <c r="E950" s="106" t="str">
        <f>IFERROR(VLOOKUP($D950,NUMDIST[],2,FALSE),"DA Non trouvéé")</f>
        <v>DA Non trouvéé</v>
      </c>
      <c r="F950" s="30"/>
      <c r="G950" s="31"/>
      <c r="H950" s="13">
        <v>0</v>
      </c>
      <c r="I950" s="13">
        <v>0</v>
      </c>
      <c r="J950" s="30"/>
      <c r="K950" s="37"/>
    </row>
    <row r="951" spans="3:11" ht="15.5" thickTop="1" thickBot="1" x14ac:dyDescent="0.4">
      <c r="C951" s="29"/>
      <c r="D951" s="30"/>
      <c r="E951" s="106" t="str">
        <f>IFERROR(VLOOKUP($D951,NUMDIST[],2,FALSE),"DA Non trouvéé")</f>
        <v>DA Non trouvéé</v>
      </c>
      <c r="F951" s="30"/>
      <c r="G951" s="31"/>
      <c r="H951" s="13">
        <v>0</v>
      </c>
      <c r="I951" s="13">
        <v>0</v>
      </c>
      <c r="J951" s="30"/>
      <c r="K951" s="37"/>
    </row>
    <row r="952" spans="3:11" ht="15.5" thickTop="1" thickBot="1" x14ac:dyDescent="0.4">
      <c r="C952" s="29"/>
      <c r="D952" s="30"/>
      <c r="E952" s="106" t="str">
        <f>IFERROR(VLOOKUP($D952,NUMDIST[],2,FALSE),"DA Non trouvéé")</f>
        <v>DA Non trouvéé</v>
      </c>
      <c r="F952" s="30"/>
      <c r="G952" s="31"/>
      <c r="H952" s="13">
        <v>0</v>
      </c>
      <c r="I952" s="13">
        <v>0</v>
      </c>
      <c r="J952" s="30"/>
      <c r="K952" s="37"/>
    </row>
    <row r="953" spans="3:11" ht="15.5" thickTop="1" thickBot="1" x14ac:dyDescent="0.4">
      <c r="C953" s="29"/>
      <c r="D953" s="30"/>
      <c r="E953" s="106" t="str">
        <f>IFERROR(VLOOKUP($D953,NUMDIST[],2,FALSE),"DA Non trouvéé")</f>
        <v>DA Non trouvéé</v>
      </c>
      <c r="F953" s="30"/>
      <c r="G953" s="31"/>
      <c r="H953" s="13">
        <v>0</v>
      </c>
      <c r="I953" s="13">
        <v>0</v>
      </c>
      <c r="J953" s="30"/>
      <c r="K953" s="37"/>
    </row>
    <row r="954" spans="3:11" ht="15.5" thickTop="1" thickBot="1" x14ac:dyDescent="0.4">
      <c r="C954" s="29"/>
      <c r="D954" s="30"/>
      <c r="E954" s="106" t="str">
        <f>IFERROR(VLOOKUP($D954,NUMDIST[],2,FALSE),"DA Non trouvéé")</f>
        <v>DA Non trouvéé</v>
      </c>
      <c r="F954" s="30"/>
      <c r="G954" s="31"/>
      <c r="H954" s="13">
        <v>0</v>
      </c>
      <c r="I954" s="13">
        <v>0</v>
      </c>
      <c r="J954" s="30"/>
      <c r="K954" s="37"/>
    </row>
    <row r="955" spans="3:11" ht="15.5" thickTop="1" thickBot="1" x14ac:dyDescent="0.4">
      <c r="C955" s="29"/>
      <c r="D955" s="30"/>
      <c r="E955" s="106" t="str">
        <f>IFERROR(VLOOKUP($D955,NUMDIST[],2,FALSE),"DA Non trouvéé")</f>
        <v>DA Non trouvéé</v>
      </c>
      <c r="F955" s="30"/>
      <c r="G955" s="31"/>
      <c r="H955" s="13">
        <v>0</v>
      </c>
      <c r="I955" s="13">
        <v>0</v>
      </c>
      <c r="J955" s="30"/>
      <c r="K955" s="37"/>
    </row>
    <row r="956" spans="3:11" ht="15.5" thickTop="1" thickBot="1" x14ac:dyDescent="0.4">
      <c r="C956" s="29"/>
      <c r="D956" s="30"/>
      <c r="E956" s="106" t="str">
        <f>IFERROR(VLOOKUP($D956,NUMDIST[],2,FALSE),"DA Non trouvéé")</f>
        <v>DA Non trouvéé</v>
      </c>
      <c r="F956" s="30"/>
      <c r="G956" s="31"/>
      <c r="H956" s="13">
        <v>0</v>
      </c>
      <c r="I956" s="13">
        <v>0</v>
      </c>
      <c r="J956" s="30"/>
      <c r="K956" s="37"/>
    </row>
    <row r="957" spans="3:11" ht="15.5" thickTop="1" thickBot="1" x14ac:dyDescent="0.4">
      <c r="C957" s="29"/>
      <c r="D957" s="30"/>
      <c r="E957" s="106" t="str">
        <f>IFERROR(VLOOKUP($D957,NUMDIST[],2,FALSE),"DA Non trouvéé")</f>
        <v>DA Non trouvéé</v>
      </c>
      <c r="F957" s="30"/>
      <c r="G957" s="31"/>
      <c r="H957" s="13">
        <v>0</v>
      </c>
      <c r="I957" s="13">
        <v>0</v>
      </c>
      <c r="J957" s="30"/>
      <c r="K957" s="37"/>
    </row>
    <row r="958" spans="3:11" ht="15.5" thickTop="1" thickBot="1" x14ac:dyDescent="0.4">
      <c r="C958" s="29"/>
      <c r="D958" s="30"/>
      <c r="E958" s="106" t="str">
        <f>IFERROR(VLOOKUP($D958,NUMDIST[],2,FALSE),"DA Non trouvéé")</f>
        <v>DA Non trouvéé</v>
      </c>
      <c r="F958" s="30"/>
      <c r="G958" s="31"/>
      <c r="H958" s="13">
        <v>0</v>
      </c>
      <c r="I958" s="13">
        <v>0</v>
      </c>
      <c r="J958" s="30"/>
      <c r="K958" s="37"/>
    </row>
    <row r="959" spans="3:11" ht="15.5" thickTop="1" thickBot="1" x14ac:dyDescent="0.4">
      <c r="C959" s="29"/>
      <c r="D959" s="30"/>
      <c r="E959" s="106" t="str">
        <f>IFERROR(VLOOKUP($D959,NUMDIST[],2,FALSE),"DA Non trouvéé")</f>
        <v>DA Non trouvéé</v>
      </c>
      <c r="F959" s="30"/>
      <c r="G959" s="31"/>
      <c r="H959" s="13">
        <v>0</v>
      </c>
      <c r="I959" s="13">
        <v>0</v>
      </c>
      <c r="J959" s="30"/>
      <c r="K959" s="37"/>
    </row>
    <row r="960" spans="3:11" ht="15.5" thickTop="1" thickBot="1" x14ac:dyDescent="0.4">
      <c r="C960" s="29"/>
      <c r="D960" s="30"/>
      <c r="E960" s="106" t="str">
        <f>IFERROR(VLOOKUP($D960,NUMDIST[],2,FALSE),"DA Non trouvéé")</f>
        <v>DA Non trouvéé</v>
      </c>
      <c r="F960" s="30"/>
      <c r="G960" s="31"/>
      <c r="H960" s="13">
        <v>0</v>
      </c>
      <c r="I960" s="13">
        <v>0</v>
      </c>
      <c r="J960" s="30"/>
      <c r="K960" s="37"/>
    </row>
    <row r="961" spans="3:11" ht="15.5" thickTop="1" thickBot="1" x14ac:dyDescent="0.4">
      <c r="C961" s="29"/>
      <c r="D961" s="30"/>
      <c r="E961" s="106" t="str">
        <f>IFERROR(VLOOKUP($D961,NUMDIST[],2,FALSE),"DA Non trouvéé")</f>
        <v>DA Non trouvéé</v>
      </c>
      <c r="F961" s="30"/>
      <c r="G961" s="31"/>
      <c r="H961" s="13">
        <v>0</v>
      </c>
      <c r="I961" s="13">
        <v>0</v>
      </c>
      <c r="J961" s="30"/>
      <c r="K961" s="37"/>
    </row>
    <row r="962" spans="3:11" ht="15.5" thickTop="1" thickBot="1" x14ac:dyDescent="0.4">
      <c r="C962" s="29"/>
      <c r="D962" s="30"/>
      <c r="E962" s="106" t="str">
        <f>IFERROR(VLOOKUP($D962,NUMDIST[],2,FALSE),"DA Non trouvéé")</f>
        <v>DA Non trouvéé</v>
      </c>
      <c r="F962" s="30"/>
      <c r="G962" s="31"/>
      <c r="H962" s="13">
        <v>0</v>
      </c>
      <c r="I962" s="13">
        <v>0</v>
      </c>
      <c r="J962" s="30"/>
      <c r="K962" s="37"/>
    </row>
    <row r="963" spans="3:11" ht="15.5" thickTop="1" thickBot="1" x14ac:dyDescent="0.4">
      <c r="C963" s="29"/>
      <c r="D963" s="30"/>
      <c r="E963" s="106" t="str">
        <f>IFERROR(VLOOKUP($D963,NUMDIST[],2,FALSE),"DA Non trouvéé")</f>
        <v>DA Non trouvéé</v>
      </c>
      <c r="F963" s="30"/>
      <c r="G963" s="31"/>
      <c r="H963" s="13">
        <v>0</v>
      </c>
      <c r="I963" s="13">
        <v>0</v>
      </c>
      <c r="J963" s="30"/>
      <c r="K963" s="37"/>
    </row>
    <row r="964" spans="3:11" ht="15.5" thickTop="1" thickBot="1" x14ac:dyDescent="0.4">
      <c r="C964" s="29"/>
      <c r="D964" s="30"/>
      <c r="E964" s="106" t="str">
        <f>IFERROR(VLOOKUP($D964,NUMDIST[],2,FALSE),"DA Non trouvéé")</f>
        <v>DA Non trouvéé</v>
      </c>
      <c r="F964" s="30"/>
      <c r="G964" s="31"/>
      <c r="H964" s="13">
        <v>0</v>
      </c>
      <c r="I964" s="13">
        <v>0</v>
      </c>
      <c r="J964" s="30"/>
      <c r="K964" s="37"/>
    </row>
    <row r="965" spans="3:11" ht="15.5" thickTop="1" thickBot="1" x14ac:dyDescent="0.4">
      <c r="C965" s="29"/>
      <c r="D965" s="30"/>
      <c r="E965" s="106" t="str">
        <f>IFERROR(VLOOKUP($D965,NUMDIST[],2,FALSE),"DA Non trouvéé")</f>
        <v>DA Non trouvéé</v>
      </c>
      <c r="F965" s="30"/>
      <c r="G965" s="31"/>
      <c r="H965" s="13">
        <v>0</v>
      </c>
      <c r="I965" s="13">
        <v>0</v>
      </c>
      <c r="J965" s="30"/>
      <c r="K965" s="37"/>
    </row>
    <row r="966" spans="3:11" ht="15.5" thickTop="1" thickBot="1" x14ac:dyDescent="0.4">
      <c r="C966" s="29"/>
      <c r="D966" s="30"/>
      <c r="E966" s="106" t="str">
        <f>IFERROR(VLOOKUP($D966,NUMDIST[],2,FALSE),"DA Non trouvéé")</f>
        <v>DA Non trouvéé</v>
      </c>
      <c r="F966" s="30"/>
      <c r="G966" s="31"/>
      <c r="H966" s="13">
        <v>0</v>
      </c>
      <c r="I966" s="13">
        <v>0</v>
      </c>
      <c r="J966" s="30"/>
      <c r="K966" s="37"/>
    </row>
    <row r="967" spans="3:11" ht="15.5" thickTop="1" thickBot="1" x14ac:dyDescent="0.4">
      <c r="C967" s="29"/>
      <c r="D967" s="30"/>
      <c r="E967" s="106" t="str">
        <f>IFERROR(VLOOKUP($D967,NUMDIST[],2,FALSE),"DA Non trouvéé")</f>
        <v>DA Non trouvéé</v>
      </c>
      <c r="F967" s="30"/>
      <c r="G967" s="31"/>
      <c r="H967" s="13">
        <v>0</v>
      </c>
      <c r="I967" s="13">
        <v>0</v>
      </c>
      <c r="J967" s="30"/>
      <c r="K967" s="37"/>
    </row>
    <row r="968" spans="3:11" ht="15.5" thickTop="1" thickBot="1" x14ac:dyDescent="0.4">
      <c r="C968" s="29"/>
      <c r="D968" s="30"/>
      <c r="E968" s="106" t="str">
        <f>IFERROR(VLOOKUP($D968,NUMDIST[],2,FALSE),"DA Non trouvéé")</f>
        <v>DA Non trouvéé</v>
      </c>
      <c r="F968" s="30"/>
      <c r="G968" s="31"/>
      <c r="H968" s="13">
        <v>0</v>
      </c>
      <c r="I968" s="13">
        <v>0</v>
      </c>
      <c r="J968" s="30"/>
      <c r="K968" s="37"/>
    </row>
    <row r="969" spans="3:11" ht="15.5" thickTop="1" thickBot="1" x14ac:dyDescent="0.4">
      <c r="C969" s="29"/>
      <c r="D969" s="30"/>
      <c r="E969" s="106" t="str">
        <f>IFERROR(VLOOKUP($D969,NUMDIST[],2,FALSE),"DA Non trouvéé")</f>
        <v>DA Non trouvéé</v>
      </c>
      <c r="F969" s="30"/>
      <c r="G969" s="31"/>
      <c r="H969" s="13">
        <v>0</v>
      </c>
      <c r="I969" s="13">
        <v>0</v>
      </c>
      <c r="J969" s="30"/>
      <c r="K969" s="37"/>
    </row>
    <row r="970" spans="3:11" ht="15.5" thickTop="1" thickBot="1" x14ac:dyDescent="0.4">
      <c r="C970" s="29"/>
      <c r="D970" s="30"/>
      <c r="E970" s="106" t="str">
        <f>IFERROR(VLOOKUP($D970,NUMDIST[],2,FALSE),"DA Non trouvéé")</f>
        <v>DA Non trouvéé</v>
      </c>
      <c r="F970" s="30"/>
      <c r="G970" s="31"/>
      <c r="H970" s="13">
        <v>0</v>
      </c>
      <c r="I970" s="13">
        <v>0</v>
      </c>
      <c r="J970" s="30"/>
      <c r="K970" s="37"/>
    </row>
    <row r="971" spans="3:11" ht="15.5" thickTop="1" thickBot="1" x14ac:dyDescent="0.4">
      <c r="C971" s="29"/>
      <c r="D971" s="30"/>
      <c r="E971" s="106" t="str">
        <f>IFERROR(VLOOKUP($D971,NUMDIST[],2,FALSE),"DA Non trouvéé")</f>
        <v>DA Non trouvéé</v>
      </c>
      <c r="F971" s="30"/>
      <c r="G971" s="31"/>
      <c r="H971" s="13">
        <v>0</v>
      </c>
      <c r="I971" s="13">
        <v>0</v>
      </c>
      <c r="J971" s="30"/>
      <c r="K971" s="37"/>
    </row>
    <row r="972" spans="3:11" ht="15.5" thickTop="1" thickBot="1" x14ac:dyDescent="0.4">
      <c r="C972" s="29"/>
      <c r="D972" s="30"/>
      <c r="E972" s="106" t="str">
        <f>IFERROR(VLOOKUP($D972,NUMDIST[],2,FALSE),"DA Non trouvéé")</f>
        <v>DA Non trouvéé</v>
      </c>
      <c r="F972" s="30"/>
      <c r="G972" s="31"/>
      <c r="H972" s="13">
        <v>0</v>
      </c>
      <c r="I972" s="13">
        <v>0</v>
      </c>
      <c r="J972" s="30"/>
      <c r="K972" s="37"/>
    </row>
    <row r="973" spans="3:11" ht="15.5" thickTop="1" thickBot="1" x14ac:dyDescent="0.4">
      <c r="C973" s="29"/>
      <c r="D973" s="30"/>
      <c r="E973" s="106" t="str">
        <f>IFERROR(VLOOKUP($D973,NUMDIST[],2,FALSE),"DA Non trouvéé")</f>
        <v>DA Non trouvéé</v>
      </c>
      <c r="F973" s="30"/>
      <c r="G973" s="31"/>
      <c r="H973" s="13">
        <v>0</v>
      </c>
      <c r="I973" s="13">
        <v>0</v>
      </c>
      <c r="J973" s="30"/>
      <c r="K973" s="37"/>
    </row>
    <row r="974" spans="3:11" ht="15.5" thickTop="1" thickBot="1" x14ac:dyDescent="0.4">
      <c r="C974" s="29"/>
      <c r="D974" s="30"/>
      <c r="E974" s="106" t="str">
        <f>IFERROR(VLOOKUP($D974,NUMDIST[],2,FALSE),"DA Non trouvéé")</f>
        <v>DA Non trouvéé</v>
      </c>
      <c r="F974" s="30"/>
      <c r="G974" s="31"/>
      <c r="H974" s="13">
        <v>0</v>
      </c>
      <c r="I974" s="13">
        <v>0</v>
      </c>
      <c r="J974" s="30"/>
      <c r="K974" s="37"/>
    </row>
    <row r="975" spans="3:11" ht="15.5" thickTop="1" thickBot="1" x14ac:dyDescent="0.4">
      <c r="C975" s="29"/>
      <c r="D975" s="30"/>
      <c r="E975" s="106" t="str">
        <f>IFERROR(VLOOKUP($D975,NUMDIST[],2,FALSE),"DA Non trouvéé")</f>
        <v>DA Non trouvéé</v>
      </c>
      <c r="F975" s="30"/>
      <c r="G975" s="31"/>
      <c r="H975" s="13">
        <v>0</v>
      </c>
      <c r="I975" s="13">
        <v>0</v>
      </c>
      <c r="J975" s="30"/>
      <c r="K975" s="37"/>
    </row>
    <row r="976" spans="3:11" ht="15.5" thickTop="1" thickBot="1" x14ac:dyDescent="0.4">
      <c r="C976" s="29"/>
      <c r="D976" s="30"/>
      <c r="E976" s="106" t="str">
        <f>IFERROR(VLOOKUP($D976,NUMDIST[],2,FALSE),"DA Non trouvéé")</f>
        <v>DA Non trouvéé</v>
      </c>
      <c r="F976" s="30"/>
      <c r="G976" s="31"/>
      <c r="H976" s="13">
        <v>0</v>
      </c>
      <c r="I976" s="13">
        <v>0</v>
      </c>
      <c r="J976" s="30"/>
      <c r="K976" s="37"/>
    </row>
    <row r="977" spans="3:11" ht="15.5" thickTop="1" thickBot="1" x14ac:dyDescent="0.4">
      <c r="C977" s="29"/>
      <c r="D977" s="30"/>
      <c r="E977" s="106" t="str">
        <f>IFERROR(VLOOKUP($D977,NUMDIST[],2,FALSE),"DA Non trouvéé")</f>
        <v>DA Non trouvéé</v>
      </c>
      <c r="F977" s="30"/>
      <c r="G977" s="31"/>
      <c r="H977" s="13">
        <v>0</v>
      </c>
      <c r="I977" s="13">
        <v>0</v>
      </c>
      <c r="J977" s="30"/>
      <c r="K977" s="37"/>
    </row>
    <row r="978" spans="3:11" ht="15.5" thickTop="1" thickBot="1" x14ac:dyDescent="0.4">
      <c r="C978" s="29"/>
      <c r="D978" s="30"/>
      <c r="E978" s="106" t="str">
        <f>IFERROR(VLOOKUP($D978,NUMDIST[],2,FALSE),"DA Non trouvéé")</f>
        <v>DA Non trouvéé</v>
      </c>
      <c r="F978" s="30"/>
      <c r="G978" s="31"/>
      <c r="H978" s="13">
        <v>0</v>
      </c>
      <c r="I978" s="13">
        <v>0</v>
      </c>
      <c r="J978" s="30"/>
      <c r="K978" s="37"/>
    </row>
    <row r="979" spans="3:11" ht="15.5" thickTop="1" thickBot="1" x14ac:dyDescent="0.4">
      <c r="C979" s="29"/>
      <c r="D979" s="30"/>
      <c r="E979" s="106" t="str">
        <f>IFERROR(VLOOKUP($D979,NUMDIST[],2,FALSE),"DA Non trouvéé")</f>
        <v>DA Non trouvéé</v>
      </c>
      <c r="F979" s="30"/>
      <c r="G979" s="31"/>
      <c r="H979" s="13">
        <v>0</v>
      </c>
      <c r="I979" s="13">
        <v>0</v>
      </c>
      <c r="J979" s="30"/>
      <c r="K979" s="37"/>
    </row>
    <row r="980" spans="3:11" ht="15.5" thickTop="1" thickBot="1" x14ac:dyDescent="0.4">
      <c r="C980" s="29"/>
      <c r="D980" s="30"/>
      <c r="E980" s="106" t="str">
        <f>IFERROR(VLOOKUP($D980,NUMDIST[],2,FALSE),"DA Non trouvéé")</f>
        <v>DA Non trouvéé</v>
      </c>
      <c r="F980" s="30"/>
      <c r="G980" s="31"/>
      <c r="H980" s="13">
        <v>0</v>
      </c>
      <c r="I980" s="13">
        <v>0</v>
      </c>
      <c r="J980" s="30"/>
      <c r="K980" s="37"/>
    </row>
    <row r="981" spans="3:11" ht="15.5" thickTop="1" thickBot="1" x14ac:dyDescent="0.4">
      <c r="C981" s="29"/>
      <c r="D981" s="30"/>
      <c r="E981" s="106" t="str">
        <f>IFERROR(VLOOKUP($D981,NUMDIST[],2,FALSE),"DA Non trouvéé")</f>
        <v>DA Non trouvéé</v>
      </c>
      <c r="F981" s="30"/>
      <c r="G981" s="31"/>
      <c r="H981" s="13">
        <v>0</v>
      </c>
      <c r="I981" s="13">
        <v>0</v>
      </c>
      <c r="J981" s="30"/>
      <c r="K981" s="37"/>
    </row>
    <row r="982" spans="3:11" ht="15.5" thickTop="1" thickBot="1" x14ac:dyDescent="0.4">
      <c r="C982" s="29"/>
      <c r="D982" s="30"/>
      <c r="E982" s="106" t="str">
        <f>IFERROR(VLOOKUP($D982,NUMDIST[],2,FALSE),"DA Non trouvéé")</f>
        <v>DA Non trouvéé</v>
      </c>
      <c r="F982" s="30"/>
      <c r="G982" s="31"/>
      <c r="H982" s="13">
        <v>0</v>
      </c>
      <c r="I982" s="13">
        <v>0</v>
      </c>
      <c r="J982" s="30"/>
      <c r="K982" s="37"/>
    </row>
    <row r="983" spans="3:11" ht="15.5" thickTop="1" thickBot="1" x14ac:dyDescent="0.4">
      <c r="C983" s="29"/>
      <c r="D983" s="30"/>
      <c r="E983" s="106" t="str">
        <f>IFERROR(VLOOKUP($D983,NUMDIST[],2,FALSE),"DA Non trouvéé")</f>
        <v>DA Non trouvéé</v>
      </c>
      <c r="F983" s="30"/>
      <c r="G983" s="31"/>
      <c r="H983" s="13">
        <v>0</v>
      </c>
      <c r="I983" s="13">
        <v>0</v>
      </c>
      <c r="J983" s="30"/>
      <c r="K983" s="37"/>
    </row>
    <row r="984" spans="3:11" ht="15.5" thickTop="1" thickBot="1" x14ac:dyDescent="0.4">
      <c r="C984" s="29"/>
      <c r="D984" s="30"/>
      <c r="E984" s="106" t="str">
        <f>IFERROR(VLOOKUP($D984,NUMDIST[],2,FALSE),"DA Non trouvéé")</f>
        <v>DA Non trouvéé</v>
      </c>
      <c r="F984" s="30"/>
      <c r="G984" s="31"/>
      <c r="H984" s="13">
        <v>0</v>
      </c>
      <c r="I984" s="13">
        <v>0</v>
      </c>
      <c r="J984" s="30"/>
      <c r="K984" s="37"/>
    </row>
    <row r="985" spans="3:11" ht="15.5" thickTop="1" thickBot="1" x14ac:dyDescent="0.4">
      <c r="C985" s="29"/>
      <c r="D985" s="30"/>
      <c r="E985" s="106" t="str">
        <f>IFERROR(VLOOKUP($D985,NUMDIST[],2,FALSE),"DA Non trouvéé")</f>
        <v>DA Non trouvéé</v>
      </c>
      <c r="F985" s="30"/>
      <c r="G985" s="31"/>
      <c r="H985" s="13">
        <v>0</v>
      </c>
      <c r="I985" s="13">
        <v>0</v>
      </c>
      <c r="J985" s="30"/>
      <c r="K985" s="37"/>
    </row>
    <row r="986" spans="3:11" ht="15.5" thickTop="1" thickBot="1" x14ac:dyDescent="0.4">
      <c r="C986" s="29"/>
      <c r="D986" s="30"/>
      <c r="E986" s="106" t="str">
        <f>IFERROR(VLOOKUP($D986,NUMDIST[],2,FALSE),"DA Non trouvéé")</f>
        <v>DA Non trouvéé</v>
      </c>
      <c r="F986" s="30"/>
      <c r="G986" s="31"/>
      <c r="H986" s="13">
        <v>0</v>
      </c>
      <c r="I986" s="13">
        <v>0</v>
      </c>
      <c r="J986" s="30"/>
      <c r="K986" s="37"/>
    </row>
    <row r="987" spans="3:11" ht="15.5" thickTop="1" thickBot="1" x14ac:dyDescent="0.4">
      <c r="C987" s="29"/>
      <c r="D987" s="30"/>
      <c r="E987" s="106" t="str">
        <f>IFERROR(VLOOKUP($D987,NUMDIST[],2,FALSE),"DA Non trouvéé")</f>
        <v>DA Non trouvéé</v>
      </c>
      <c r="F987" s="30"/>
      <c r="G987" s="31"/>
      <c r="H987" s="13">
        <v>0</v>
      </c>
      <c r="I987" s="13">
        <v>0</v>
      </c>
      <c r="J987" s="30"/>
      <c r="K987" s="37"/>
    </row>
    <row r="988" spans="3:11" ht="15.5" thickTop="1" thickBot="1" x14ac:dyDescent="0.4">
      <c r="C988" s="29"/>
      <c r="D988" s="30"/>
      <c r="E988" s="106" t="str">
        <f>IFERROR(VLOOKUP($D988,NUMDIST[],2,FALSE),"DA Non trouvéé")</f>
        <v>DA Non trouvéé</v>
      </c>
      <c r="F988" s="30"/>
      <c r="G988" s="31"/>
      <c r="H988" s="13">
        <v>0</v>
      </c>
      <c r="I988" s="13">
        <v>0</v>
      </c>
      <c r="J988" s="30"/>
      <c r="K988" s="37"/>
    </row>
    <row r="989" spans="3:11" ht="15.5" thickTop="1" thickBot="1" x14ac:dyDescent="0.4">
      <c r="C989" s="29"/>
      <c r="D989" s="30"/>
      <c r="E989" s="106" t="str">
        <f>IFERROR(VLOOKUP($D989,NUMDIST[],2,FALSE),"DA Non trouvéé")</f>
        <v>DA Non trouvéé</v>
      </c>
      <c r="F989" s="30"/>
      <c r="G989" s="31"/>
      <c r="H989" s="13">
        <v>0</v>
      </c>
      <c r="I989" s="13">
        <v>0</v>
      </c>
      <c r="J989" s="30"/>
      <c r="K989" s="37"/>
    </row>
    <row r="990" spans="3:11" ht="15.5" thickTop="1" thickBot="1" x14ac:dyDescent="0.4">
      <c r="C990" s="29"/>
      <c r="D990" s="30"/>
      <c r="E990" s="106" t="str">
        <f>IFERROR(VLOOKUP($D990,NUMDIST[],2,FALSE),"DA Non trouvéé")</f>
        <v>DA Non trouvéé</v>
      </c>
      <c r="F990" s="30"/>
      <c r="G990" s="31"/>
      <c r="H990" s="13">
        <v>0</v>
      </c>
      <c r="I990" s="13">
        <v>0</v>
      </c>
      <c r="J990" s="30"/>
      <c r="K990" s="37"/>
    </row>
    <row r="991" spans="3:11" ht="15.5" thickTop="1" thickBot="1" x14ac:dyDescent="0.4">
      <c r="C991" s="29"/>
      <c r="D991" s="30"/>
      <c r="E991" s="106" t="str">
        <f>IFERROR(VLOOKUP($D991,NUMDIST[],2,FALSE),"DA Non trouvéé")</f>
        <v>DA Non trouvéé</v>
      </c>
      <c r="F991" s="30"/>
      <c r="G991" s="31"/>
      <c r="H991" s="13">
        <v>0</v>
      </c>
      <c r="I991" s="13">
        <v>0</v>
      </c>
      <c r="J991" s="30"/>
      <c r="K991" s="37"/>
    </row>
    <row r="992" spans="3:11" ht="15.5" thickTop="1" thickBot="1" x14ac:dyDescent="0.4">
      <c r="C992" s="29"/>
      <c r="D992" s="30"/>
      <c r="E992" s="106" t="str">
        <f>IFERROR(VLOOKUP($D992,NUMDIST[],2,FALSE),"DA Non trouvéé")</f>
        <v>DA Non trouvéé</v>
      </c>
      <c r="F992" s="30"/>
      <c r="G992" s="31"/>
      <c r="H992" s="13">
        <v>0</v>
      </c>
      <c r="I992" s="13">
        <v>0</v>
      </c>
      <c r="J992" s="30"/>
      <c r="K992" s="37"/>
    </row>
    <row r="993" spans="3:11" ht="15.5" thickTop="1" thickBot="1" x14ac:dyDescent="0.4">
      <c r="C993" s="29"/>
      <c r="D993" s="30"/>
      <c r="E993" s="106" t="str">
        <f>IFERROR(VLOOKUP($D993,NUMDIST[],2,FALSE),"DA Non trouvéé")</f>
        <v>DA Non trouvéé</v>
      </c>
      <c r="F993" s="30"/>
      <c r="G993" s="31"/>
      <c r="H993" s="13">
        <v>0</v>
      </c>
      <c r="I993" s="13">
        <v>0</v>
      </c>
      <c r="J993" s="30"/>
      <c r="K993" s="37"/>
    </row>
    <row r="994" spans="3:11" ht="15.5" thickTop="1" thickBot="1" x14ac:dyDescent="0.4">
      <c r="C994" s="29"/>
      <c r="D994" s="30"/>
      <c r="E994" s="106" t="str">
        <f>IFERROR(VLOOKUP($D994,NUMDIST[],2,FALSE),"DA Non trouvéé")</f>
        <v>DA Non trouvéé</v>
      </c>
      <c r="F994" s="30"/>
      <c r="G994" s="31"/>
      <c r="H994" s="13">
        <v>0</v>
      </c>
      <c r="I994" s="13">
        <v>0</v>
      </c>
      <c r="J994" s="30"/>
      <c r="K994" s="37"/>
    </row>
    <row r="995" spans="3:11" ht="15.5" thickTop="1" thickBot="1" x14ac:dyDescent="0.4">
      <c r="C995" s="29"/>
      <c r="D995" s="30"/>
      <c r="E995" s="106" t="str">
        <f>IFERROR(VLOOKUP($D995,NUMDIST[],2,FALSE),"DA Non trouvéé")</f>
        <v>DA Non trouvéé</v>
      </c>
      <c r="F995" s="30"/>
      <c r="G995" s="31"/>
      <c r="H995" s="13">
        <v>0</v>
      </c>
      <c r="I995" s="13">
        <v>0</v>
      </c>
      <c r="J995" s="30"/>
      <c r="K995" s="37"/>
    </row>
    <row r="996" spans="3:11" ht="15.5" thickTop="1" thickBot="1" x14ac:dyDescent="0.4">
      <c r="C996" s="29"/>
      <c r="D996" s="30"/>
      <c r="E996" s="106" t="str">
        <f>IFERROR(VLOOKUP($D996,NUMDIST[],2,FALSE),"DA Non trouvéé")</f>
        <v>DA Non trouvéé</v>
      </c>
      <c r="F996" s="30"/>
      <c r="G996" s="31"/>
      <c r="H996" s="13">
        <v>0</v>
      </c>
      <c r="I996" s="13">
        <v>0</v>
      </c>
      <c r="J996" s="30"/>
      <c r="K996" s="37"/>
    </row>
    <row r="997" spans="3:11" ht="15.5" thickTop="1" thickBot="1" x14ac:dyDescent="0.4">
      <c r="C997" s="29"/>
      <c r="D997" s="30"/>
      <c r="E997" s="106" t="str">
        <f>IFERROR(VLOOKUP($D997,NUMDIST[],2,FALSE),"DA Non trouvéé")</f>
        <v>DA Non trouvéé</v>
      </c>
      <c r="F997" s="30"/>
      <c r="G997" s="31"/>
      <c r="H997" s="13">
        <v>0</v>
      </c>
      <c r="I997" s="13">
        <v>0</v>
      </c>
      <c r="J997" s="30"/>
      <c r="K997" s="37"/>
    </row>
    <row r="998" spans="3:11" ht="15.5" thickTop="1" thickBot="1" x14ac:dyDescent="0.4">
      <c r="C998" s="29"/>
      <c r="D998" s="30"/>
      <c r="E998" s="106" t="str">
        <f>IFERROR(VLOOKUP($D998,NUMDIST[],2,FALSE),"DA Non trouvéé")</f>
        <v>DA Non trouvéé</v>
      </c>
      <c r="F998" s="30"/>
      <c r="G998" s="31"/>
      <c r="H998" s="13">
        <v>0</v>
      </c>
      <c r="I998" s="13">
        <v>0</v>
      </c>
      <c r="J998" s="30"/>
      <c r="K998" s="37"/>
    </row>
    <row r="999" spans="3:11" ht="15.5" thickTop="1" thickBot="1" x14ac:dyDescent="0.4">
      <c r="C999" s="29"/>
      <c r="D999" s="30"/>
      <c r="E999" s="106" t="str">
        <f>IFERROR(VLOOKUP($D999,NUMDIST[],2,FALSE),"DA Non trouvéé")</f>
        <v>DA Non trouvéé</v>
      </c>
      <c r="F999" s="30"/>
      <c r="G999" s="31"/>
      <c r="H999" s="13">
        <v>0</v>
      </c>
      <c r="I999" s="13">
        <v>0</v>
      </c>
      <c r="J999" s="30"/>
      <c r="K999" s="37"/>
    </row>
    <row r="1000" spans="3:11" ht="15.5" thickTop="1" thickBot="1" x14ac:dyDescent="0.4">
      <c r="C1000" s="29"/>
      <c r="D1000" s="30"/>
      <c r="E1000" s="106" t="str">
        <f>IFERROR(VLOOKUP($D1000,NUMDIST[],2,FALSE),"DA Non trouvéé")</f>
        <v>DA Non trouvéé</v>
      </c>
      <c r="F1000" s="30"/>
      <c r="G1000" s="31"/>
      <c r="H1000" s="13">
        <v>0</v>
      </c>
      <c r="I1000" s="13">
        <v>0</v>
      </c>
      <c r="J1000" s="30"/>
      <c r="K1000" s="37"/>
    </row>
    <row r="1001" spans="3:11" ht="15.5" thickTop="1" thickBot="1" x14ac:dyDescent="0.4">
      <c r="C1001" s="29"/>
      <c r="D1001" s="30"/>
      <c r="E1001" s="106" t="str">
        <f>IFERROR(VLOOKUP($D1001,NUMDIST[],2,FALSE),"DA Non trouvéé")</f>
        <v>DA Non trouvéé</v>
      </c>
      <c r="F1001" s="30"/>
      <c r="G1001" s="31"/>
      <c r="H1001" s="13">
        <v>0</v>
      </c>
      <c r="I1001" s="13">
        <v>0</v>
      </c>
      <c r="J1001" s="30"/>
      <c r="K1001" s="37"/>
    </row>
    <row r="1002" spans="3:11" ht="15.5" thickTop="1" thickBot="1" x14ac:dyDescent="0.4">
      <c r="C1002" s="29"/>
      <c r="D1002" s="30"/>
      <c r="E1002" s="106" t="str">
        <f>IFERROR(VLOOKUP($D1002,NUMDIST[],2,FALSE),"DA Non trouvéé")</f>
        <v>DA Non trouvéé</v>
      </c>
      <c r="F1002" s="30"/>
      <c r="G1002" s="31"/>
      <c r="H1002" s="13">
        <v>0</v>
      </c>
      <c r="I1002" s="13">
        <v>0</v>
      </c>
      <c r="J1002" s="30"/>
      <c r="K1002" s="37"/>
    </row>
    <row r="1003" spans="3:11" ht="15.5" thickTop="1" thickBot="1" x14ac:dyDescent="0.4">
      <c r="C1003" s="29"/>
      <c r="D1003" s="30"/>
      <c r="E1003" s="106" t="str">
        <f>IFERROR(VLOOKUP($D1003,NUMDIST[],2,FALSE),"DA Non trouvéé")</f>
        <v>DA Non trouvéé</v>
      </c>
      <c r="F1003" s="30"/>
      <c r="G1003" s="31"/>
      <c r="H1003" s="13">
        <v>0</v>
      </c>
      <c r="I1003" s="13">
        <v>0</v>
      </c>
      <c r="J1003" s="30"/>
      <c r="K1003" s="37"/>
    </row>
    <row r="1004" spans="3:11" ht="15.5" thickTop="1" thickBot="1" x14ac:dyDescent="0.4">
      <c r="C1004" s="29"/>
      <c r="D1004" s="30"/>
      <c r="E1004" s="106" t="str">
        <f>IFERROR(VLOOKUP($D1004,NUMDIST[],2,FALSE),"DA Non trouvéé")</f>
        <v>DA Non trouvéé</v>
      </c>
      <c r="F1004" s="30"/>
      <c r="G1004" s="31"/>
      <c r="H1004" s="13">
        <v>0</v>
      </c>
      <c r="I1004" s="13">
        <v>0</v>
      </c>
      <c r="J1004" s="30"/>
      <c r="K1004" s="37"/>
    </row>
    <row r="1005" spans="3:11" ht="15.5" thickTop="1" thickBot="1" x14ac:dyDescent="0.4">
      <c r="C1005" s="29"/>
      <c r="D1005" s="30"/>
      <c r="E1005" s="106" t="str">
        <f>IFERROR(VLOOKUP($D1005,NUMDIST[],2,FALSE),"DA Non trouvéé")</f>
        <v>DA Non trouvéé</v>
      </c>
      <c r="F1005" s="30"/>
      <c r="G1005" s="31"/>
      <c r="H1005" s="13">
        <v>0</v>
      </c>
      <c r="I1005" s="13">
        <v>0</v>
      </c>
      <c r="J1005" s="30"/>
      <c r="K1005" s="37"/>
    </row>
    <row r="1006" spans="3:11" ht="15.5" thickTop="1" thickBot="1" x14ac:dyDescent="0.4">
      <c r="C1006" s="29"/>
      <c r="D1006" s="30"/>
      <c r="E1006" s="106" t="str">
        <f>IFERROR(VLOOKUP($D1006,NUMDIST[],2,FALSE),"DA Non trouvéé")</f>
        <v>DA Non trouvéé</v>
      </c>
      <c r="F1006" s="30"/>
      <c r="G1006" s="31"/>
      <c r="H1006" s="13">
        <v>0</v>
      </c>
      <c r="I1006" s="13">
        <v>0</v>
      </c>
      <c r="J1006" s="30"/>
      <c r="K1006" s="37"/>
    </row>
    <row r="1007" spans="3:11" ht="15.5" thickTop="1" thickBot="1" x14ac:dyDescent="0.4">
      <c r="C1007" s="29"/>
      <c r="D1007" s="30"/>
      <c r="E1007" s="106" t="str">
        <f>IFERROR(VLOOKUP($D1007,NUMDIST[],2,FALSE),"DA Non trouvéé")</f>
        <v>DA Non trouvéé</v>
      </c>
      <c r="F1007" s="30"/>
      <c r="G1007" s="31"/>
      <c r="H1007" s="13">
        <v>0</v>
      </c>
      <c r="I1007" s="13">
        <v>0</v>
      </c>
      <c r="J1007" s="30"/>
      <c r="K1007" s="37"/>
    </row>
    <row r="1008" spans="3:11" ht="15.5" thickTop="1" thickBot="1" x14ac:dyDescent="0.4">
      <c r="C1008" s="29"/>
      <c r="D1008" s="30"/>
      <c r="E1008" s="106" t="str">
        <f>IFERROR(VLOOKUP($D1008,NUMDIST[],2,FALSE),"DA Non trouvéé")</f>
        <v>DA Non trouvéé</v>
      </c>
      <c r="F1008" s="30"/>
      <c r="G1008" s="31"/>
      <c r="H1008" s="13">
        <v>0</v>
      </c>
      <c r="I1008" s="13">
        <v>0</v>
      </c>
      <c r="J1008" s="30"/>
      <c r="K1008" s="37"/>
    </row>
    <row r="1009" spans="3:11" ht="15.5" thickTop="1" thickBot="1" x14ac:dyDescent="0.4">
      <c r="C1009" s="29"/>
      <c r="D1009" s="30"/>
      <c r="E1009" s="106" t="str">
        <f>IFERROR(VLOOKUP($D1009,NUMDIST[],2,FALSE),"DA Non trouvéé")</f>
        <v>DA Non trouvéé</v>
      </c>
      <c r="F1009" s="30"/>
      <c r="G1009" s="31"/>
      <c r="H1009" s="13">
        <v>0</v>
      </c>
      <c r="I1009" s="13">
        <v>0</v>
      </c>
      <c r="J1009" s="30"/>
      <c r="K1009" s="37"/>
    </row>
    <row r="1010" spans="3:11" ht="15.5" thickTop="1" thickBot="1" x14ac:dyDescent="0.4">
      <c r="C1010" s="29"/>
      <c r="D1010" s="30"/>
      <c r="E1010" s="106" t="str">
        <f>IFERROR(VLOOKUP($D1010,NUMDIST[],2,FALSE),"DA Non trouvéé")</f>
        <v>DA Non trouvéé</v>
      </c>
      <c r="F1010" s="30"/>
      <c r="G1010" s="31"/>
      <c r="H1010" s="13">
        <v>0</v>
      </c>
      <c r="I1010" s="13">
        <v>0</v>
      </c>
      <c r="J1010" s="30"/>
      <c r="K1010" s="37"/>
    </row>
    <row r="1011" spans="3:11" ht="15.5" thickTop="1" thickBot="1" x14ac:dyDescent="0.4">
      <c r="C1011" s="29"/>
      <c r="D1011" s="30"/>
      <c r="E1011" s="106" t="str">
        <f>IFERROR(VLOOKUP($D1011,NUMDIST[],2,FALSE),"DA Non trouvéé")</f>
        <v>DA Non trouvéé</v>
      </c>
      <c r="F1011" s="30"/>
      <c r="G1011" s="31"/>
      <c r="H1011" s="13">
        <v>0</v>
      </c>
      <c r="I1011" s="13">
        <v>0</v>
      </c>
      <c r="J1011" s="30"/>
      <c r="K1011" s="37"/>
    </row>
    <row r="1012" spans="3:11" ht="15.5" thickTop="1" thickBot="1" x14ac:dyDescent="0.4">
      <c r="C1012" s="29"/>
      <c r="D1012" s="30"/>
      <c r="E1012" s="106" t="str">
        <f>IFERROR(VLOOKUP($D1012,NUMDIST[],2,FALSE),"DA Non trouvéé")</f>
        <v>DA Non trouvéé</v>
      </c>
      <c r="F1012" s="30"/>
      <c r="G1012" s="31"/>
      <c r="H1012" s="13">
        <v>0</v>
      </c>
      <c r="I1012" s="13">
        <v>0</v>
      </c>
      <c r="J1012" s="30"/>
      <c r="K1012" s="37"/>
    </row>
    <row r="1013" spans="3:11" ht="15.5" thickTop="1" thickBot="1" x14ac:dyDescent="0.4">
      <c r="C1013" s="29"/>
      <c r="D1013" s="30"/>
      <c r="E1013" s="106" t="str">
        <f>IFERROR(VLOOKUP($D1013,NUMDIST[],2,FALSE),"DA Non trouvéé")</f>
        <v>DA Non trouvéé</v>
      </c>
      <c r="F1013" s="30"/>
      <c r="G1013" s="31"/>
      <c r="H1013" s="13">
        <v>0</v>
      </c>
      <c r="I1013" s="13">
        <v>0</v>
      </c>
      <c r="J1013" s="30"/>
      <c r="K1013" s="37"/>
    </row>
    <row r="1014" spans="3:11" ht="15.5" thickTop="1" thickBot="1" x14ac:dyDescent="0.4">
      <c r="C1014" s="29"/>
      <c r="D1014" s="30"/>
      <c r="E1014" s="106" t="str">
        <f>IFERROR(VLOOKUP($D1014,NUMDIST[],2,FALSE),"DA Non trouvéé")</f>
        <v>DA Non trouvéé</v>
      </c>
      <c r="F1014" s="30"/>
      <c r="G1014" s="31"/>
      <c r="H1014" s="13">
        <v>0</v>
      </c>
      <c r="I1014" s="13">
        <v>0</v>
      </c>
      <c r="J1014" s="30"/>
      <c r="K1014" s="37"/>
    </row>
    <row r="1015" spans="3:11" ht="15.5" thickTop="1" thickBot="1" x14ac:dyDescent="0.4">
      <c r="C1015" s="29"/>
      <c r="D1015" s="30"/>
      <c r="E1015" s="106" t="str">
        <f>IFERROR(VLOOKUP($D1015,NUMDIST[],2,FALSE),"DA Non trouvéé")</f>
        <v>DA Non trouvéé</v>
      </c>
      <c r="F1015" s="30"/>
      <c r="G1015" s="31"/>
      <c r="H1015" s="13">
        <v>0</v>
      </c>
      <c r="I1015" s="13">
        <v>0</v>
      </c>
      <c r="J1015" s="30"/>
      <c r="K1015" s="37"/>
    </row>
    <row r="1016" spans="3:11" ht="15.5" thickTop="1" thickBot="1" x14ac:dyDescent="0.4">
      <c r="C1016" s="29"/>
      <c r="D1016" s="30"/>
      <c r="E1016" s="106" t="str">
        <f>IFERROR(VLOOKUP($D1016,NUMDIST[],2,FALSE),"DA Non trouvéé")</f>
        <v>DA Non trouvéé</v>
      </c>
      <c r="F1016" s="30"/>
      <c r="G1016" s="31"/>
      <c r="H1016" s="13">
        <v>0</v>
      </c>
      <c r="I1016" s="13">
        <v>0</v>
      </c>
      <c r="J1016" s="30"/>
      <c r="K1016" s="37"/>
    </row>
    <row r="1017" spans="3:11" ht="15.5" thickTop="1" thickBot="1" x14ac:dyDescent="0.4">
      <c r="C1017" s="29"/>
      <c r="D1017" s="30"/>
      <c r="E1017" s="106" t="str">
        <f>IFERROR(VLOOKUP($D1017,NUMDIST[],2,FALSE),"DA Non trouvéé")</f>
        <v>DA Non trouvéé</v>
      </c>
      <c r="F1017" s="30"/>
      <c r="G1017" s="31"/>
      <c r="H1017" s="13">
        <v>0</v>
      </c>
      <c r="I1017" s="13">
        <v>0</v>
      </c>
      <c r="J1017" s="30"/>
      <c r="K1017" s="37"/>
    </row>
    <row r="1018" spans="3:11" ht="15.5" thickTop="1" thickBot="1" x14ac:dyDescent="0.4">
      <c r="C1018" s="29"/>
      <c r="D1018" s="30"/>
      <c r="E1018" s="106" t="str">
        <f>IFERROR(VLOOKUP($D1018,NUMDIST[],2,FALSE),"DA Non trouvéé")</f>
        <v>DA Non trouvéé</v>
      </c>
      <c r="F1018" s="30"/>
      <c r="G1018" s="31"/>
      <c r="H1018" s="13">
        <v>0</v>
      </c>
      <c r="I1018" s="13">
        <v>0</v>
      </c>
      <c r="J1018" s="30"/>
      <c r="K1018" s="37"/>
    </row>
    <row r="1019" spans="3:11" ht="15.5" thickTop="1" thickBot="1" x14ac:dyDescent="0.4">
      <c r="C1019" s="29"/>
      <c r="D1019" s="30"/>
      <c r="E1019" s="106" t="str">
        <f>IFERROR(VLOOKUP($D1019,NUMDIST[],2,FALSE),"DA Non trouvéé")</f>
        <v>DA Non trouvéé</v>
      </c>
      <c r="F1019" s="30"/>
      <c r="G1019" s="31"/>
      <c r="H1019" s="13">
        <v>0</v>
      </c>
      <c r="I1019" s="13">
        <v>0</v>
      </c>
      <c r="J1019" s="30"/>
      <c r="K1019" s="37"/>
    </row>
    <row r="1020" spans="3:11" ht="15.5" thickTop="1" thickBot="1" x14ac:dyDescent="0.4">
      <c r="C1020" s="29"/>
      <c r="D1020" s="30"/>
      <c r="E1020" s="106" t="str">
        <f>IFERROR(VLOOKUP($D1020,NUMDIST[],2,FALSE),"DA Non trouvéé")</f>
        <v>DA Non trouvéé</v>
      </c>
      <c r="F1020" s="30"/>
      <c r="G1020" s="31"/>
      <c r="H1020" s="13">
        <v>0</v>
      </c>
      <c r="I1020" s="13">
        <v>0</v>
      </c>
      <c r="J1020" s="30"/>
      <c r="K1020" s="37"/>
    </row>
    <row r="1021" spans="3:11" ht="15.5" thickTop="1" thickBot="1" x14ac:dyDescent="0.4">
      <c r="C1021" s="29"/>
      <c r="D1021" s="30"/>
      <c r="E1021" s="106" t="str">
        <f>IFERROR(VLOOKUP($D1021,NUMDIST[],2,FALSE),"DA Non trouvéé")</f>
        <v>DA Non trouvéé</v>
      </c>
      <c r="F1021" s="30"/>
      <c r="G1021" s="31"/>
      <c r="H1021" s="13">
        <v>0</v>
      </c>
      <c r="I1021" s="13">
        <v>0</v>
      </c>
      <c r="J1021" s="30"/>
      <c r="K1021" s="37"/>
    </row>
    <row r="1022" spans="3:11" ht="15.5" thickTop="1" thickBot="1" x14ac:dyDescent="0.4">
      <c r="C1022" s="29"/>
      <c r="D1022" s="30"/>
      <c r="E1022" s="106" t="str">
        <f>IFERROR(VLOOKUP($D1022,NUMDIST[],2,FALSE),"DA Non trouvéé")</f>
        <v>DA Non trouvéé</v>
      </c>
      <c r="F1022" s="30"/>
      <c r="G1022" s="31"/>
      <c r="H1022" s="13">
        <v>0</v>
      </c>
      <c r="I1022" s="13">
        <v>0</v>
      </c>
      <c r="J1022" s="30"/>
      <c r="K1022" s="37"/>
    </row>
    <row r="1023" spans="3:11" ht="15.5" thickTop="1" thickBot="1" x14ac:dyDescent="0.4">
      <c r="C1023" s="29"/>
      <c r="D1023" s="30"/>
      <c r="E1023" s="106" t="str">
        <f>IFERROR(VLOOKUP($D1023,NUMDIST[],2,FALSE),"DA Non trouvéé")</f>
        <v>DA Non trouvéé</v>
      </c>
      <c r="F1023" s="30"/>
      <c r="G1023" s="31"/>
      <c r="H1023" s="13">
        <v>0</v>
      </c>
      <c r="I1023" s="13">
        <v>0</v>
      </c>
      <c r="J1023" s="30"/>
      <c r="K1023" s="37"/>
    </row>
    <row r="1024" spans="3:11" ht="15.5" thickTop="1" thickBot="1" x14ac:dyDescent="0.4">
      <c r="C1024" s="29"/>
      <c r="D1024" s="30"/>
      <c r="E1024" s="106" t="str">
        <f>IFERROR(VLOOKUP($D1024,NUMDIST[],2,FALSE),"DA Non trouvéé")</f>
        <v>DA Non trouvéé</v>
      </c>
      <c r="F1024" s="30"/>
      <c r="G1024" s="31"/>
      <c r="H1024" s="13">
        <v>0</v>
      </c>
      <c r="I1024" s="13">
        <v>0</v>
      </c>
      <c r="J1024" s="30"/>
      <c r="K1024" s="37"/>
    </row>
    <row r="1025" spans="3:11" ht="15.5" thickTop="1" thickBot="1" x14ac:dyDescent="0.4">
      <c r="C1025" s="29"/>
      <c r="D1025" s="30"/>
      <c r="E1025" s="106" t="str">
        <f>IFERROR(VLOOKUP($D1025,NUMDIST[],2,FALSE),"DA Non trouvéé")</f>
        <v>DA Non trouvéé</v>
      </c>
      <c r="F1025" s="30"/>
      <c r="G1025" s="31"/>
      <c r="H1025" s="13">
        <v>0</v>
      </c>
      <c r="I1025" s="13">
        <v>0</v>
      </c>
      <c r="J1025" s="30"/>
      <c r="K1025" s="37"/>
    </row>
    <row r="1026" spans="3:11" ht="15.5" thickTop="1" thickBot="1" x14ac:dyDescent="0.4">
      <c r="C1026" s="29"/>
      <c r="D1026" s="30"/>
      <c r="E1026" s="106" t="str">
        <f>IFERROR(VLOOKUP($D1026,NUMDIST[],2,FALSE),"DA Non trouvéé")</f>
        <v>DA Non trouvéé</v>
      </c>
      <c r="F1026" s="30"/>
      <c r="G1026" s="31"/>
      <c r="H1026" s="13">
        <v>0</v>
      </c>
      <c r="I1026" s="13">
        <v>0</v>
      </c>
      <c r="J1026" s="30"/>
      <c r="K1026" s="37"/>
    </row>
    <row r="1027" spans="3:11" ht="15.5" thickTop="1" thickBot="1" x14ac:dyDescent="0.4">
      <c r="C1027" s="29"/>
      <c r="D1027" s="30"/>
      <c r="E1027" s="106" t="str">
        <f>IFERROR(VLOOKUP($D1027,NUMDIST[],2,FALSE),"DA Non trouvéé")</f>
        <v>DA Non trouvéé</v>
      </c>
      <c r="F1027" s="30"/>
      <c r="G1027" s="31"/>
      <c r="H1027" s="13">
        <v>0</v>
      </c>
      <c r="I1027" s="13">
        <v>0</v>
      </c>
      <c r="J1027" s="30"/>
      <c r="K1027" s="37"/>
    </row>
    <row r="1028" spans="3:11" ht="15.5" thickTop="1" thickBot="1" x14ac:dyDescent="0.4">
      <c r="C1028" s="29"/>
      <c r="D1028" s="30"/>
      <c r="E1028" s="106" t="str">
        <f>IFERROR(VLOOKUP($D1028,NUMDIST[],2,FALSE),"DA Non trouvéé")</f>
        <v>DA Non trouvéé</v>
      </c>
      <c r="F1028" s="30"/>
      <c r="G1028" s="31"/>
      <c r="H1028" s="13">
        <v>0</v>
      </c>
      <c r="I1028" s="13">
        <v>0</v>
      </c>
      <c r="J1028" s="30"/>
      <c r="K1028" s="37"/>
    </row>
    <row r="1029" spans="3:11" ht="15.5" thickTop="1" thickBot="1" x14ac:dyDescent="0.4">
      <c r="C1029" s="29"/>
      <c r="D1029" s="30"/>
      <c r="E1029" s="106" t="str">
        <f>IFERROR(VLOOKUP($D1029,NUMDIST[],2,FALSE),"DA Non trouvéé")</f>
        <v>DA Non trouvéé</v>
      </c>
      <c r="F1029" s="30"/>
      <c r="G1029" s="31"/>
      <c r="H1029" s="13">
        <v>0</v>
      </c>
      <c r="I1029" s="13">
        <v>0</v>
      </c>
      <c r="J1029" s="30"/>
      <c r="K1029" s="37"/>
    </row>
    <row r="1030" spans="3:11" ht="15.5" thickTop="1" thickBot="1" x14ac:dyDescent="0.4">
      <c r="C1030" s="29"/>
      <c r="D1030" s="30"/>
      <c r="E1030" s="106" t="str">
        <f>IFERROR(VLOOKUP($D1030,NUMDIST[],2,FALSE),"DA Non trouvéé")</f>
        <v>DA Non trouvéé</v>
      </c>
      <c r="F1030" s="30"/>
      <c r="G1030" s="31"/>
      <c r="H1030" s="13">
        <v>0</v>
      </c>
      <c r="I1030" s="13">
        <v>0</v>
      </c>
      <c r="J1030" s="30"/>
      <c r="K1030" s="37"/>
    </row>
    <row r="1031" spans="3:11" ht="15.5" thickTop="1" thickBot="1" x14ac:dyDescent="0.4">
      <c r="C1031" s="29"/>
      <c r="D1031" s="30"/>
      <c r="E1031" s="106" t="str">
        <f>IFERROR(VLOOKUP($D1031,NUMDIST[],2,FALSE),"DA Non trouvéé")</f>
        <v>DA Non trouvéé</v>
      </c>
      <c r="F1031" s="30"/>
      <c r="G1031" s="31"/>
      <c r="H1031" s="13">
        <v>0</v>
      </c>
      <c r="I1031" s="13">
        <v>0</v>
      </c>
      <c r="J1031" s="30"/>
      <c r="K1031" s="37"/>
    </row>
    <row r="1032" spans="3:11" ht="15.5" thickTop="1" thickBot="1" x14ac:dyDescent="0.4">
      <c r="C1032" s="29"/>
      <c r="D1032" s="30"/>
      <c r="E1032" s="106" t="str">
        <f>IFERROR(VLOOKUP($D1032,NUMDIST[],2,FALSE),"DA Non trouvéé")</f>
        <v>DA Non trouvéé</v>
      </c>
      <c r="F1032" s="30"/>
      <c r="G1032" s="31"/>
      <c r="H1032" s="13">
        <v>0</v>
      </c>
      <c r="I1032" s="13">
        <v>0</v>
      </c>
      <c r="J1032" s="30"/>
      <c r="K1032" s="37"/>
    </row>
    <row r="1033" spans="3:11" ht="15.5" thickTop="1" thickBot="1" x14ac:dyDescent="0.4">
      <c r="C1033" s="29"/>
      <c r="D1033" s="30"/>
      <c r="E1033" s="106" t="str">
        <f>IFERROR(VLOOKUP($D1033,NUMDIST[],2,FALSE),"DA Non trouvéé")</f>
        <v>DA Non trouvéé</v>
      </c>
      <c r="F1033" s="30"/>
      <c r="G1033" s="31"/>
      <c r="H1033" s="13">
        <v>0</v>
      </c>
      <c r="I1033" s="13">
        <v>0</v>
      </c>
      <c r="J1033" s="30"/>
      <c r="K1033" s="37"/>
    </row>
    <row r="1034" spans="3:11" ht="15.5" thickTop="1" thickBot="1" x14ac:dyDescent="0.4">
      <c r="C1034" s="29"/>
      <c r="D1034" s="30"/>
      <c r="E1034" s="106" t="str">
        <f>IFERROR(VLOOKUP($D1034,NUMDIST[],2,FALSE),"DA Non trouvéé")</f>
        <v>DA Non trouvéé</v>
      </c>
      <c r="F1034" s="30"/>
      <c r="G1034" s="31"/>
      <c r="H1034" s="13">
        <v>0</v>
      </c>
      <c r="I1034" s="13">
        <v>0</v>
      </c>
      <c r="J1034" s="30"/>
      <c r="K1034" s="37"/>
    </row>
    <row r="1035" spans="3:11" ht="15.5" thickTop="1" thickBot="1" x14ac:dyDescent="0.4">
      <c r="C1035" s="29"/>
      <c r="D1035" s="30"/>
      <c r="E1035" s="106" t="str">
        <f>IFERROR(VLOOKUP($D1035,NUMDIST[],2,FALSE),"DA Non trouvéé")</f>
        <v>DA Non trouvéé</v>
      </c>
      <c r="F1035" s="30"/>
      <c r="G1035" s="31"/>
      <c r="H1035" s="13">
        <v>0</v>
      </c>
      <c r="I1035" s="13">
        <v>0</v>
      </c>
      <c r="J1035" s="30"/>
      <c r="K1035" s="37"/>
    </row>
    <row r="1036" spans="3:11" ht="15.5" thickTop="1" thickBot="1" x14ac:dyDescent="0.4">
      <c r="C1036" s="29"/>
      <c r="D1036" s="30"/>
      <c r="E1036" s="106" t="str">
        <f>IFERROR(VLOOKUP($D1036,NUMDIST[],2,FALSE),"DA Non trouvéé")</f>
        <v>DA Non trouvéé</v>
      </c>
      <c r="F1036" s="30"/>
      <c r="G1036" s="31"/>
      <c r="H1036" s="13">
        <v>0</v>
      </c>
      <c r="I1036" s="13">
        <v>0</v>
      </c>
      <c r="J1036" s="30"/>
      <c r="K1036" s="37"/>
    </row>
    <row r="1037" spans="3:11" ht="15.5" thickTop="1" thickBot="1" x14ac:dyDescent="0.4">
      <c r="C1037" s="29"/>
      <c r="D1037" s="30"/>
      <c r="E1037" s="106" t="str">
        <f>IFERROR(VLOOKUP($D1037,NUMDIST[],2,FALSE),"DA Non trouvéé")</f>
        <v>DA Non trouvéé</v>
      </c>
      <c r="F1037" s="30"/>
      <c r="G1037" s="31"/>
      <c r="H1037" s="13">
        <v>0</v>
      </c>
      <c r="I1037" s="13">
        <v>0</v>
      </c>
      <c r="J1037" s="30"/>
      <c r="K1037" s="37"/>
    </row>
    <row r="1038" spans="3:11" ht="15.5" thickTop="1" thickBot="1" x14ac:dyDescent="0.4">
      <c r="C1038" s="29"/>
      <c r="D1038" s="30"/>
      <c r="E1038" s="106" t="str">
        <f>IFERROR(VLOOKUP($D1038,NUMDIST[],2,FALSE),"DA Non trouvéé")</f>
        <v>DA Non trouvéé</v>
      </c>
      <c r="F1038" s="30"/>
      <c r="G1038" s="31"/>
      <c r="H1038" s="13">
        <v>0</v>
      </c>
      <c r="I1038" s="13">
        <v>0</v>
      </c>
      <c r="J1038" s="30"/>
      <c r="K1038" s="37"/>
    </row>
    <row r="1039" spans="3:11" ht="15.5" thickTop="1" thickBot="1" x14ac:dyDescent="0.4">
      <c r="C1039" s="29"/>
      <c r="D1039" s="30"/>
      <c r="E1039" s="106" t="str">
        <f>IFERROR(VLOOKUP($D1039,NUMDIST[],2,FALSE),"DA Non trouvéé")</f>
        <v>DA Non trouvéé</v>
      </c>
      <c r="F1039" s="30"/>
      <c r="G1039" s="31"/>
      <c r="H1039" s="13">
        <v>0</v>
      </c>
      <c r="I1039" s="13">
        <v>0</v>
      </c>
      <c r="J1039" s="30"/>
      <c r="K1039" s="37"/>
    </row>
    <row r="1040" spans="3:11" ht="15.5" thickTop="1" thickBot="1" x14ac:dyDescent="0.4">
      <c r="C1040" s="29"/>
      <c r="D1040" s="30"/>
      <c r="E1040" s="106" t="str">
        <f>IFERROR(VLOOKUP($D1040,NUMDIST[],2,FALSE),"DA Non trouvéé")</f>
        <v>DA Non trouvéé</v>
      </c>
      <c r="F1040" s="30"/>
      <c r="G1040" s="31"/>
      <c r="H1040" s="13">
        <v>0</v>
      </c>
      <c r="I1040" s="13">
        <v>0</v>
      </c>
      <c r="J1040" s="30"/>
      <c r="K1040" s="37"/>
    </row>
    <row r="1041" spans="3:11" ht="15.5" thickTop="1" thickBot="1" x14ac:dyDescent="0.4">
      <c r="C1041" s="29"/>
      <c r="D1041" s="30"/>
      <c r="E1041" s="106" t="str">
        <f>IFERROR(VLOOKUP($D1041,NUMDIST[],2,FALSE),"DA Non trouvéé")</f>
        <v>DA Non trouvéé</v>
      </c>
      <c r="F1041" s="30"/>
      <c r="G1041" s="31"/>
      <c r="H1041" s="13">
        <v>0</v>
      </c>
      <c r="I1041" s="13">
        <v>0</v>
      </c>
      <c r="J1041" s="30"/>
      <c r="K1041" s="37"/>
    </row>
    <row r="1042" spans="3:11" ht="15.5" thickTop="1" thickBot="1" x14ac:dyDescent="0.4">
      <c r="C1042" s="29"/>
      <c r="D1042" s="30"/>
      <c r="E1042" s="106" t="str">
        <f>IFERROR(VLOOKUP($D1042,NUMDIST[],2,FALSE),"DA Non trouvéé")</f>
        <v>DA Non trouvéé</v>
      </c>
      <c r="F1042" s="30"/>
      <c r="G1042" s="31"/>
      <c r="H1042" s="13">
        <v>0</v>
      </c>
      <c r="I1042" s="13">
        <v>0</v>
      </c>
      <c r="J1042" s="30"/>
      <c r="K1042" s="37"/>
    </row>
    <row r="1043" spans="3:11" ht="15.5" thickTop="1" thickBot="1" x14ac:dyDescent="0.4">
      <c r="C1043" s="29"/>
      <c r="D1043" s="30"/>
      <c r="E1043" s="106" t="str">
        <f>IFERROR(VLOOKUP($D1043,NUMDIST[],2,FALSE),"DA Non trouvéé")</f>
        <v>DA Non trouvéé</v>
      </c>
      <c r="F1043" s="30"/>
      <c r="G1043" s="31"/>
      <c r="H1043" s="13">
        <v>0</v>
      </c>
      <c r="I1043" s="13">
        <v>0</v>
      </c>
      <c r="J1043" s="30"/>
      <c r="K1043" s="37"/>
    </row>
    <row r="1044" spans="3:11" ht="15.5" thickTop="1" thickBot="1" x14ac:dyDescent="0.4">
      <c r="C1044" s="29"/>
      <c r="D1044" s="30"/>
      <c r="E1044" s="106" t="str">
        <f>IFERROR(VLOOKUP($D1044,NUMDIST[],2,FALSE),"DA Non trouvéé")</f>
        <v>DA Non trouvéé</v>
      </c>
      <c r="F1044" s="30"/>
      <c r="G1044" s="31"/>
      <c r="H1044" s="13">
        <v>0</v>
      </c>
      <c r="I1044" s="13">
        <v>0</v>
      </c>
      <c r="J1044" s="30"/>
      <c r="K1044" s="37"/>
    </row>
    <row r="1045" spans="3:11" ht="15.5" thickTop="1" thickBot="1" x14ac:dyDescent="0.4">
      <c r="C1045" s="29"/>
      <c r="D1045" s="30"/>
      <c r="E1045" s="106" t="str">
        <f>IFERROR(VLOOKUP($D1045,NUMDIST[],2,FALSE),"DA Non trouvéé")</f>
        <v>DA Non trouvéé</v>
      </c>
      <c r="F1045" s="30"/>
      <c r="G1045" s="31"/>
      <c r="H1045" s="13">
        <v>0</v>
      </c>
      <c r="I1045" s="13">
        <v>0</v>
      </c>
      <c r="J1045" s="30"/>
      <c r="K1045" s="37"/>
    </row>
    <row r="1046" spans="3:11" ht="15.5" thickTop="1" thickBot="1" x14ac:dyDescent="0.4">
      <c r="C1046" s="29"/>
      <c r="D1046" s="30"/>
      <c r="E1046" s="106" t="str">
        <f>IFERROR(VLOOKUP($D1046,NUMDIST[],2,FALSE),"DA Non trouvéé")</f>
        <v>DA Non trouvéé</v>
      </c>
      <c r="F1046" s="30"/>
      <c r="G1046" s="31"/>
      <c r="H1046" s="13">
        <v>0</v>
      </c>
      <c r="I1046" s="13">
        <v>0</v>
      </c>
      <c r="J1046" s="30"/>
      <c r="K1046" s="37"/>
    </row>
    <row r="1047" spans="3:11" ht="15.5" thickTop="1" thickBot="1" x14ac:dyDescent="0.4">
      <c r="C1047" s="29"/>
      <c r="D1047" s="30"/>
      <c r="E1047" s="106" t="str">
        <f>IFERROR(VLOOKUP($D1047,NUMDIST[],2,FALSE),"DA Non trouvéé")</f>
        <v>DA Non trouvéé</v>
      </c>
      <c r="F1047" s="30"/>
      <c r="G1047" s="31"/>
      <c r="H1047" s="13">
        <v>0</v>
      </c>
      <c r="I1047" s="13">
        <v>0</v>
      </c>
      <c r="J1047" s="30"/>
      <c r="K1047" s="37"/>
    </row>
    <row r="1048" spans="3:11" ht="15.5" thickTop="1" thickBot="1" x14ac:dyDescent="0.4">
      <c r="C1048" s="29"/>
      <c r="D1048" s="30"/>
      <c r="E1048" s="106" t="str">
        <f>IFERROR(VLOOKUP($D1048,NUMDIST[],2,FALSE),"DA Non trouvéé")</f>
        <v>DA Non trouvéé</v>
      </c>
      <c r="F1048" s="30"/>
      <c r="G1048" s="31"/>
      <c r="H1048" s="13">
        <v>0</v>
      </c>
      <c r="I1048" s="13">
        <v>0</v>
      </c>
      <c r="J1048" s="30"/>
      <c r="K1048" s="37"/>
    </row>
    <row r="1049" spans="3:11" ht="15.5" thickTop="1" thickBot="1" x14ac:dyDescent="0.4">
      <c r="C1049" s="29"/>
      <c r="D1049" s="30"/>
      <c r="E1049" s="106" t="str">
        <f>IFERROR(VLOOKUP($D1049,NUMDIST[],2,FALSE),"DA Non trouvéé")</f>
        <v>DA Non trouvéé</v>
      </c>
      <c r="F1049" s="30"/>
      <c r="G1049" s="31"/>
      <c r="H1049" s="13">
        <v>0</v>
      </c>
      <c r="I1049" s="13">
        <v>0</v>
      </c>
      <c r="J1049" s="30"/>
      <c r="K1049" s="37"/>
    </row>
    <row r="1050" spans="3:11" ht="15.5" thickTop="1" thickBot="1" x14ac:dyDescent="0.4">
      <c r="C1050" s="29"/>
      <c r="D1050" s="30"/>
      <c r="E1050" s="106" t="str">
        <f>IFERROR(VLOOKUP($D1050,NUMDIST[],2,FALSE),"DA Non trouvéé")</f>
        <v>DA Non trouvéé</v>
      </c>
      <c r="F1050" s="30"/>
      <c r="G1050" s="31"/>
      <c r="H1050" s="13">
        <v>0</v>
      </c>
      <c r="I1050" s="13">
        <v>0</v>
      </c>
      <c r="J1050" s="30"/>
      <c r="K1050" s="37"/>
    </row>
    <row r="1051" spans="3:11" ht="15.5" thickTop="1" thickBot="1" x14ac:dyDescent="0.4">
      <c r="C1051" s="29"/>
      <c r="D1051" s="30"/>
      <c r="E1051" s="106" t="str">
        <f>IFERROR(VLOOKUP($D1051,NUMDIST[],2,FALSE),"DA Non trouvéé")</f>
        <v>DA Non trouvéé</v>
      </c>
      <c r="F1051" s="30"/>
      <c r="G1051" s="31"/>
      <c r="H1051" s="13">
        <v>0</v>
      </c>
      <c r="I1051" s="13">
        <v>0</v>
      </c>
      <c r="J1051" s="30"/>
      <c r="K1051" s="37"/>
    </row>
    <row r="1052" spans="3:11" ht="15.5" thickTop="1" thickBot="1" x14ac:dyDescent="0.4">
      <c r="C1052" s="29"/>
      <c r="D1052" s="30"/>
      <c r="E1052" s="106" t="str">
        <f>IFERROR(VLOOKUP($D1052,NUMDIST[],2,FALSE),"DA Non trouvéé")</f>
        <v>DA Non trouvéé</v>
      </c>
      <c r="F1052" s="30"/>
      <c r="G1052" s="31"/>
      <c r="H1052" s="13">
        <v>0</v>
      </c>
      <c r="I1052" s="13">
        <v>0</v>
      </c>
      <c r="J1052" s="30"/>
      <c r="K1052" s="37"/>
    </row>
    <row r="1053" spans="3:11" ht="15.5" thickTop="1" thickBot="1" x14ac:dyDescent="0.4">
      <c r="C1053" s="29"/>
      <c r="D1053" s="30"/>
      <c r="E1053" s="106" t="str">
        <f>IFERROR(VLOOKUP($D1053,NUMDIST[],2,FALSE),"DA Non trouvéé")</f>
        <v>DA Non trouvéé</v>
      </c>
      <c r="F1053" s="30"/>
      <c r="G1053" s="31"/>
      <c r="H1053" s="13">
        <v>0</v>
      </c>
      <c r="I1053" s="13">
        <v>0</v>
      </c>
      <c r="J1053" s="30"/>
      <c r="K1053" s="37"/>
    </row>
    <row r="1054" spans="3:11" ht="15.5" thickTop="1" thickBot="1" x14ac:dyDescent="0.4">
      <c r="C1054" s="29"/>
      <c r="D1054" s="30"/>
      <c r="E1054" s="106" t="str">
        <f>IFERROR(VLOOKUP($D1054,NUMDIST[],2,FALSE),"DA Non trouvéé")</f>
        <v>DA Non trouvéé</v>
      </c>
      <c r="F1054" s="30"/>
      <c r="G1054" s="31"/>
      <c r="H1054" s="13">
        <v>0</v>
      </c>
      <c r="I1054" s="13">
        <v>0</v>
      </c>
      <c r="J1054" s="30"/>
      <c r="K1054" s="37"/>
    </row>
    <row r="1055" spans="3:11" ht="15.5" thickTop="1" thickBot="1" x14ac:dyDescent="0.4">
      <c r="C1055" s="29"/>
      <c r="D1055" s="30"/>
      <c r="E1055" s="106" t="str">
        <f>IFERROR(VLOOKUP($D1055,NUMDIST[],2,FALSE),"DA Non trouvéé")</f>
        <v>DA Non trouvéé</v>
      </c>
      <c r="F1055" s="30"/>
      <c r="G1055" s="31"/>
      <c r="H1055" s="13">
        <v>0</v>
      </c>
      <c r="I1055" s="13">
        <v>0</v>
      </c>
      <c r="J1055" s="30"/>
      <c r="K1055" s="37"/>
    </row>
    <row r="1056" spans="3:11" ht="15.5" thickTop="1" thickBot="1" x14ac:dyDescent="0.4">
      <c r="C1056" s="29"/>
      <c r="D1056" s="30"/>
      <c r="E1056" s="106" t="str">
        <f>IFERROR(VLOOKUP($D1056,NUMDIST[],2,FALSE),"DA Non trouvéé")</f>
        <v>DA Non trouvéé</v>
      </c>
      <c r="F1056" s="30"/>
      <c r="G1056" s="31"/>
      <c r="H1056" s="13">
        <v>0</v>
      </c>
      <c r="I1056" s="13">
        <v>0</v>
      </c>
      <c r="J1056" s="30"/>
      <c r="K1056" s="37"/>
    </row>
    <row r="1057" spans="3:11" ht="15.5" thickTop="1" thickBot="1" x14ac:dyDescent="0.4">
      <c r="C1057" s="29"/>
      <c r="D1057" s="30"/>
      <c r="E1057" s="106" t="str">
        <f>IFERROR(VLOOKUP($D1057,NUMDIST[],2,FALSE),"DA Non trouvéé")</f>
        <v>DA Non trouvéé</v>
      </c>
      <c r="F1057" s="30"/>
      <c r="G1057" s="31"/>
      <c r="H1057" s="13">
        <v>0</v>
      </c>
      <c r="I1057" s="13">
        <v>0</v>
      </c>
      <c r="J1057" s="30"/>
      <c r="K1057" s="37"/>
    </row>
    <row r="1058" spans="3:11" ht="15.5" thickTop="1" thickBot="1" x14ac:dyDescent="0.4">
      <c r="C1058" s="29"/>
      <c r="D1058" s="30"/>
      <c r="E1058" s="106" t="str">
        <f>IFERROR(VLOOKUP($D1058,NUMDIST[],2,FALSE),"DA Non trouvéé")</f>
        <v>DA Non trouvéé</v>
      </c>
      <c r="F1058" s="30"/>
      <c r="G1058" s="31"/>
      <c r="H1058" s="13">
        <v>0</v>
      </c>
      <c r="I1058" s="13">
        <v>0</v>
      </c>
      <c r="J1058" s="30"/>
      <c r="K1058" s="37"/>
    </row>
    <row r="1059" spans="3:11" ht="15.5" thickTop="1" thickBot="1" x14ac:dyDescent="0.4">
      <c r="C1059" s="29"/>
      <c r="D1059" s="30"/>
      <c r="E1059" s="106" t="str">
        <f>IFERROR(VLOOKUP($D1059,NUMDIST[],2,FALSE),"DA Non trouvéé")</f>
        <v>DA Non trouvéé</v>
      </c>
      <c r="F1059" s="30"/>
      <c r="G1059" s="31"/>
      <c r="H1059" s="13">
        <v>0</v>
      </c>
      <c r="I1059" s="13">
        <v>0</v>
      </c>
      <c r="J1059" s="30"/>
      <c r="K1059" s="37"/>
    </row>
    <row r="1060" spans="3:11" ht="15.5" thickTop="1" thickBot="1" x14ac:dyDescent="0.4">
      <c r="C1060" s="29"/>
      <c r="D1060" s="30"/>
      <c r="E1060" s="106" t="str">
        <f>IFERROR(VLOOKUP($D1060,NUMDIST[],2,FALSE),"DA Non trouvéé")</f>
        <v>DA Non trouvéé</v>
      </c>
      <c r="F1060" s="30"/>
      <c r="G1060" s="31"/>
      <c r="H1060" s="13">
        <v>0</v>
      </c>
      <c r="I1060" s="13">
        <v>0</v>
      </c>
      <c r="J1060" s="30"/>
      <c r="K1060" s="37"/>
    </row>
    <row r="1061" spans="3:11" ht="15.5" thickTop="1" thickBot="1" x14ac:dyDescent="0.4">
      <c r="C1061" s="29"/>
      <c r="D1061" s="30"/>
      <c r="E1061" s="106" t="str">
        <f>IFERROR(VLOOKUP($D1061,NUMDIST[],2,FALSE),"DA Non trouvéé")</f>
        <v>DA Non trouvéé</v>
      </c>
      <c r="F1061" s="30"/>
      <c r="G1061" s="31"/>
      <c r="H1061" s="13">
        <v>0</v>
      </c>
      <c r="I1061" s="13">
        <v>0</v>
      </c>
      <c r="J1061" s="30"/>
      <c r="K1061" s="37"/>
    </row>
    <row r="1062" spans="3:11" ht="15.5" thickTop="1" thickBot="1" x14ac:dyDescent="0.4">
      <c r="C1062" s="29"/>
      <c r="D1062" s="30"/>
      <c r="E1062" s="106" t="str">
        <f>IFERROR(VLOOKUP($D1062,NUMDIST[],2,FALSE),"DA Non trouvéé")</f>
        <v>DA Non trouvéé</v>
      </c>
      <c r="F1062" s="30"/>
      <c r="G1062" s="31"/>
      <c r="H1062" s="13">
        <v>0</v>
      </c>
      <c r="I1062" s="13">
        <v>0</v>
      </c>
      <c r="J1062" s="30"/>
      <c r="K1062" s="37"/>
    </row>
    <row r="1063" spans="3:11" ht="15.5" thickTop="1" thickBot="1" x14ac:dyDescent="0.4">
      <c r="C1063" s="29"/>
      <c r="D1063" s="30"/>
      <c r="E1063" s="106" t="str">
        <f>IFERROR(VLOOKUP($D1063,NUMDIST[],2,FALSE),"DA Non trouvéé")</f>
        <v>DA Non trouvéé</v>
      </c>
      <c r="F1063" s="30"/>
      <c r="G1063" s="31"/>
      <c r="H1063" s="13">
        <v>0</v>
      </c>
      <c r="I1063" s="13">
        <v>0</v>
      </c>
      <c r="J1063" s="30"/>
      <c r="K1063" s="37"/>
    </row>
    <row r="1064" spans="3:11" ht="15.5" thickTop="1" thickBot="1" x14ac:dyDescent="0.4">
      <c r="C1064" s="29"/>
      <c r="D1064" s="30"/>
      <c r="E1064" s="106" t="str">
        <f>IFERROR(VLOOKUP($D1064,NUMDIST[],2,FALSE),"DA Non trouvéé")</f>
        <v>DA Non trouvéé</v>
      </c>
      <c r="F1064" s="30"/>
      <c r="G1064" s="31"/>
      <c r="H1064" s="13">
        <v>0</v>
      </c>
      <c r="I1064" s="13">
        <v>0</v>
      </c>
      <c r="J1064" s="30"/>
      <c r="K1064" s="37"/>
    </row>
    <row r="1065" spans="3:11" ht="15.5" thickTop="1" thickBot="1" x14ac:dyDescent="0.4">
      <c r="C1065" s="29"/>
      <c r="D1065" s="30"/>
      <c r="E1065" s="106" t="str">
        <f>IFERROR(VLOOKUP($D1065,NUMDIST[],2,FALSE),"DA Non trouvéé")</f>
        <v>DA Non trouvéé</v>
      </c>
      <c r="F1065" s="30"/>
      <c r="G1065" s="31"/>
      <c r="H1065" s="13">
        <v>0</v>
      </c>
      <c r="I1065" s="13">
        <v>0</v>
      </c>
      <c r="J1065" s="30"/>
      <c r="K1065" s="37"/>
    </row>
    <row r="1066" spans="3:11" ht="15.5" thickTop="1" thickBot="1" x14ac:dyDescent="0.4">
      <c r="C1066" s="29"/>
      <c r="D1066" s="30"/>
      <c r="E1066" s="106" t="str">
        <f>IFERROR(VLOOKUP($D1066,NUMDIST[],2,FALSE),"DA Non trouvéé")</f>
        <v>DA Non trouvéé</v>
      </c>
      <c r="F1066" s="30"/>
      <c r="G1066" s="31"/>
      <c r="H1066" s="13">
        <v>0</v>
      </c>
      <c r="I1066" s="13">
        <v>0</v>
      </c>
      <c r="J1066" s="30"/>
      <c r="K1066" s="37"/>
    </row>
    <row r="1067" spans="3:11" ht="15.5" thickTop="1" thickBot="1" x14ac:dyDescent="0.4">
      <c r="C1067" s="29"/>
      <c r="D1067" s="30"/>
      <c r="E1067" s="106" t="str">
        <f>IFERROR(VLOOKUP($D1067,NUMDIST[],2,FALSE),"DA Non trouvéé")</f>
        <v>DA Non trouvéé</v>
      </c>
      <c r="F1067" s="30"/>
      <c r="G1067" s="31"/>
      <c r="H1067" s="13">
        <v>0</v>
      </c>
      <c r="I1067" s="13">
        <v>0</v>
      </c>
      <c r="J1067" s="30"/>
      <c r="K1067" s="37"/>
    </row>
    <row r="1068" spans="3:11" ht="15.5" thickTop="1" thickBot="1" x14ac:dyDescent="0.4">
      <c r="C1068" s="29"/>
      <c r="D1068" s="30"/>
      <c r="E1068" s="106" t="str">
        <f>IFERROR(VLOOKUP($D1068,NUMDIST[],2,FALSE),"DA Non trouvéé")</f>
        <v>DA Non trouvéé</v>
      </c>
      <c r="F1068" s="30"/>
      <c r="G1068" s="31"/>
      <c r="H1068" s="13">
        <v>0</v>
      </c>
      <c r="I1068" s="13">
        <v>0</v>
      </c>
      <c r="J1068" s="30"/>
      <c r="K1068" s="37"/>
    </row>
    <row r="1069" spans="3:11" ht="15.5" thickTop="1" thickBot="1" x14ac:dyDescent="0.4">
      <c r="C1069" s="29"/>
      <c r="D1069" s="30"/>
      <c r="E1069" s="106" t="str">
        <f>IFERROR(VLOOKUP($D1069,NUMDIST[],2,FALSE),"DA Non trouvéé")</f>
        <v>DA Non trouvéé</v>
      </c>
      <c r="F1069" s="30"/>
      <c r="G1069" s="31"/>
      <c r="H1069" s="13">
        <v>0</v>
      </c>
      <c r="I1069" s="13">
        <v>0</v>
      </c>
      <c r="J1069" s="30"/>
      <c r="K1069" s="37"/>
    </row>
    <row r="1070" spans="3:11" ht="15.5" thickTop="1" thickBot="1" x14ac:dyDescent="0.4">
      <c r="C1070" s="29"/>
      <c r="D1070" s="30"/>
      <c r="E1070" s="106" t="str">
        <f>IFERROR(VLOOKUP($D1070,NUMDIST[],2,FALSE),"DA Non trouvéé")</f>
        <v>DA Non trouvéé</v>
      </c>
      <c r="F1070" s="30"/>
      <c r="G1070" s="31"/>
      <c r="H1070" s="13">
        <v>0</v>
      </c>
      <c r="I1070" s="13">
        <v>0</v>
      </c>
      <c r="J1070" s="30"/>
      <c r="K1070" s="37"/>
    </row>
    <row r="1071" spans="3:11" ht="15.5" thickTop="1" thickBot="1" x14ac:dyDescent="0.4">
      <c r="C1071" s="29"/>
      <c r="D1071" s="30"/>
      <c r="E1071" s="106" t="str">
        <f>IFERROR(VLOOKUP($D1071,NUMDIST[],2,FALSE),"DA Non trouvéé")</f>
        <v>DA Non trouvéé</v>
      </c>
      <c r="F1071" s="30"/>
      <c r="G1071" s="31"/>
      <c r="H1071" s="13">
        <v>0</v>
      </c>
      <c r="I1071" s="13">
        <v>0</v>
      </c>
      <c r="J1071" s="30"/>
      <c r="K1071" s="37"/>
    </row>
    <row r="1072" spans="3:11" ht="15.5" thickTop="1" thickBot="1" x14ac:dyDescent="0.4">
      <c r="C1072" s="29"/>
      <c r="D1072" s="30"/>
      <c r="E1072" s="106" t="str">
        <f>IFERROR(VLOOKUP($D1072,NUMDIST[],2,FALSE),"DA Non trouvéé")</f>
        <v>DA Non trouvéé</v>
      </c>
      <c r="F1072" s="30"/>
      <c r="G1072" s="31"/>
      <c r="H1072" s="13">
        <v>0</v>
      </c>
      <c r="I1072" s="13">
        <v>0</v>
      </c>
      <c r="J1072" s="30"/>
      <c r="K1072" s="37"/>
    </row>
    <row r="1073" spans="3:11" ht="15.5" thickTop="1" thickBot="1" x14ac:dyDescent="0.4">
      <c r="C1073" s="29"/>
      <c r="D1073" s="30"/>
      <c r="E1073" s="106" t="str">
        <f>IFERROR(VLOOKUP($D1073,NUMDIST[],2,FALSE),"DA Non trouvéé")</f>
        <v>DA Non trouvéé</v>
      </c>
      <c r="F1073" s="30"/>
      <c r="G1073" s="31"/>
      <c r="H1073" s="13">
        <v>0</v>
      </c>
      <c r="I1073" s="13">
        <v>0</v>
      </c>
      <c r="J1073" s="30"/>
      <c r="K1073" s="37"/>
    </row>
    <row r="1074" spans="3:11" ht="15.5" thickTop="1" thickBot="1" x14ac:dyDescent="0.4">
      <c r="C1074" s="29"/>
      <c r="D1074" s="30"/>
      <c r="E1074" s="106" t="str">
        <f>IFERROR(VLOOKUP($D1074,NUMDIST[],2,FALSE),"DA Non trouvéé")</f>
        <v>DA Non trouvéé</v>
      </c>
      <c r="F1074" s="30"/>
      <c r="G1074" s="31"/>
      <c r="H1074" s="13">
        <v>0</v>
      </c>
      <c r="I1074" s="13">
        <v>0</v>
      </c>
      <c r="J1074" s="30"/>
      <c r="K1074" s="37"/>
    </row>
    <row r="1075" spans="3:11" ht="15.5" thickTop="1" thickBot="1" x14ac:dyDescent="0.4">
      <c r="C1075" s="29"/>
      <c r="D1075" s="30"/>
      <c r="E1075" s="106" t="str">
        <f>IFERROR(VLOOKUP($D1075,NUMDIST[],2,FALSE),"DA Non trouvéé")</f>
        <v>DA Non trouvéé</v>
      </c>
      <c r="F1075" s="30"/>
      <c r="G1075" s="31"/>
      <c r="H1075" s="13">
        <v>0</v>
      </c>
      <c r="I1075" s="13">
        <v>0</v>
      </c>
      <c r="J1075" s="30"/>
      <c r="K1075" s="37"/>
    </row>
    <row r="1076" spans="3:11" ht="15.5" thickTop="1" thickBot="1" x14ac:dyDescent="0.4">
      <c r="C1076" s="29"/>
      <c r="D1076" s="30"/>
      <c r="E1076" s="106" t="str">
        <f>IFERROR(VLOOKUP($D1076,NUMDIST[],2,FALSE),"DA Non trouvéé")</f>
        <v>DA Non trouvéé</v>
      </c>
      <c r="F1076" s="30"/>
      <c r="G1076" s="31"/>
      <c r="H1076" s="13">
        <v>0</v>
      </c>
      <c r="I1076" s="13">
        <v>0</v>
      </c>
      <c r="J1076" s="30"/>
      <c r="K1076" s="37"/>
    </row>
    <row r="1077" spans="3:11" ht="15.5" thickTop="1" thickBot="1" x14ac:dyDescent="0.4">
      <c r="C1077" s="29"/>
      <c r="D1077" s="30"/>
      <c r="E1077" s="106" t="str">
        <f>IFERROR(VLOOKUP($D1077,NUMDIST[],2,FALSE),"DA Non trouvéé")</f>
        <v>DA Non trouvéé</v>
      </c>
      <c r="F1077" s="30"/>
      <c r="G1077" s="31"/>
      <c r="H1077" s="13">
        <v>0</v>
      </c>
      <c r="I1077" s="13">
        <v>0</v>
      </c>
      <c r="J1077" s="30"/>
      <c r="K1077" s="37"/>
    </row>
    <row r="1078" spans="3:11" ht="15.5" thickTop="1" thickBot="1" x14ac:dyDescent="0.4">
      <c r="C1078" s="29"/>
      <c r="D1078" s="30"/>
      <c r="E1078" s="106" t="str">
        <f>IFERROR(VLOOKUP($D1078,NUMDIST[],2,FALSE),"DA Non trouvéé")</f>
        <v>DA Non trouvéé</v>
      </c>
      <c r="F1078" s="30"/>
      <c r="G1078" s="31"/>
      <c r="H1078" s="13">
        <v>0</v>
      </c>
      <c r="I1078" s="13">
        <v>0</v>
      </c>
      <c r="J1078" s="30"/>
      <c r="K1078" s="37"/>
    </row>
    <row r="1079" spans="3:11" ht="15.5" thickTop="1" thickBot="1" x14ac:dyDescent="0.4">
      <c r="C1079" s="29"/>
      <c r="D1079" s="30"/>
      <c r="E1079" s="106" t="str">
        <f>IFERROR(VLOOKUP($D1079,NUMDIST[],2,FALSE),"DA Non trouvéé")</f>
        <v>DA Non trouvéé</v>
      </c>
      <c r="F1079" s="30"/>
      <c r="G1079" s="31"/>
      <c r="H1079" s="13">
        <v>0</v>
      </c>
      <c r="I1079" s="13">
        <v>0</v>
      </c>
      <c r="J1079" s="30"/>
      <c r="K1079" s="37"/>
    </row>
    <row r="1080" spans="3:11" ht="15.5" thickTop="1" thickBot="1" x14ac:dyDescent="0.4">
      <c r="C1080" s="29"/>
      <c r="D1080" s="30"/>
      <c r="E1080" s="106" t="str">
        <f>IFERROR(VLOOKUP($D1080,NUMDIST[],2,FALSE),"DA Non trouvéé")</f>
        <v>DA Non trouvéé</v>
      </c>
      <c r="F1080" s="30"/>
      <c r="G1080" s="31"/>
      <c r="H1080" s="13">
        <v>0</v>
      </c>
      <c r="I1080" s="13">
        <v>0</v>
      </c>
      <c r="J1080" s="30"/>
      <c r="K1080" s="37"/>
    </row>
    <row r="1081" spans="3:11" ht="15.5" thickTop="1" thickBot="1" x14ac:dyDescent="0.4">
      <c r="C1081" s="29"/>
      <c r="D1081" s="30"/>
      <c r="E1081" s="106" t="str">
        <f>IFERROR(VLOOKUP($D1081,NUMDIST[],2,FALSE),"DA Non trouvéé")</f>
        <v>DA Non trouvéé</v>
      </c>
      <c r="F1081" s="30"/>
      <c r="G1081" s="31"/>
      <c r="H1081" s="13">
        <v>0</v>
      </c>
      <c r="I1081" s="13">
        <v>0</v>
      </c>
      <c r="J1081" s="30"/>
      <c r="K1081" s="37"/>
    </row>
    <row r="1082" spans="3:11" ht="15.5" thickTop="1" thickBot="1" x14ac:dyDescent="0.4">
      <c r="C1082" s="29"/>
      <c r="D1082" s="30"/>
      <c r="E1082" s="106" t="str">
        <f>IFERROR(VLOOKUP($D1082,NUMDIST[],2,FALSE),"DA Non trouvéé")</f>
        <v>DA Non trouvéé</v>
      </c>
      <c r="F1082" s="30"/>
      <c r="G1082" s="31"/>
      <c r="H1082" s="13">
        <v>0</v>
      </c>
      <c r="I1082" s="13">
        <v>0</v>
      </c>
      <c r="J1082" s="30"/>
      <c r="K1082" s="37"/>
    </row>
    <row r="1083" spans="3:11" ht="15.5" thickTop="1" thickBot="1" x14ac:dyDescent="0.4">
      <c r="C1083" s="29"/>
      <c r="D1083" s="30"/>
      <c r="E1083" s="106" t="str">
        <f>IFERROR(VLOOKUP($D1083,NUMDIST[],2,FALSE),"DA Non trouvéé")</f>
        <v>DA Non trouvéé</v>
      </c>
      <c r="F1083" s="30"/>
      <c r="G1083" s="31"/>
      <c r="H1083" s="13">
        <v>0</v>
      </c>
      <c r="I1083" s="13">
        <v>0</v>
      </c>
      <c r="J1083" s="30"/>
      <c r="K1083" s="37"/>
    </row>
    <row r="1084" spans="3:11" ht="15.5" thickTop="1" thickBot="1" x14ac:dyDescent="0.4">
      <c r="C1084" s="29"/>
      <c r="D1084" s="30"/>
      <c r="E1084" s="106" t="str">
        <f>IFERROR(VLOOKUP($D1084,NUMDIST[],2,FALSE),"DA Non trouvéé")</f>
        <v>DA Non trouvéé</v>
      </c>
      <c r="F1084" s="30"/>
      <c r="G1084" s="31"/>
      <c r="H1084" s="13">
        <v>0</v>
      </c>
      <c r="I1084" s="13">
        <v>0</v>
      </c>
      <c r="J1084" s="30"/>
      <c r="K1084" s="37"/>
    </row>
    <row r="1085" spans="3:11" ht="15.5" thickTop="1" thickBot="1" x14ac:dyDescent="0.4">
      <c r="C1085" s="29"/>
      <c r="D1085" s="30"/>
      <c r="E1085" s="106" t="str">
        <f>IFERROR(VLOOKUP($D1085,NUMDIST[],2,FALSE),"DA Non trouvéé")</f>
        <v>DA Non trouvéé</v>
      </c>
      <c r="F1085" s="30"/>
      <c r="G1085" s="31"/>
      <c r="H1085" s="13">
        <v>0</v>
      </c>
      <c r="I1085" s="13">
        <v>0</v>
      </c>
      <c r="J1085" s="30"/>
      <c r="K1085" s="37"/>
    </row>
    <row r="1086" spans="3:11" ht="15.5" thickTop="1" thickBot="1" x14ac:dyDescent="0.4">
      <c r="C1086" s="29"/>
      <c r="D1086" s="30"/>
      <c r="E1086" s="106" t="str">
        <f>IFERROR(VLOOKUP($D1086,NUMDIST[],2,FALSE),"DA Non trouvéé")</f>
        <v>DA Non trouvéé</v>
      </c>
      <c r="F1086" s="30"/>
      <c r="G1086" s="31"/>
      <c r="H1086" s="13">
        <v>0</v>
      </c>
      <c r="I1086" s="13">
        <v>0</v>
      </c>
      <c r="J1086" s="30"/>
      <c r="K1086" s="37"/>
    </row>
    <row r="1087" spans="3:11" ht="15.5" thickTop="1" thickBot="1" x14ac:dyDescent="0.4">
      <c r="C1087" s="29"/>
      <c r="D1087" s="30"/>
      <c r="E1087" s="106" t="str">
        <f>IFERROR(VLOOKUP($D1087,NUMDIST[],2,FALSE),"DA Non trouvéé")</f>
        <v>DA Non trouvéé</v>
      </c>
      <c r="F1087" s="30"/>
      <c r="G1087" s="31"/>
      <c r="H1087" s="13">
        <v>0</v>
      </c>
      <c r="I1087" s="13">
        <v>0</v>
      </c>
      <c r="J1087" s="30"/>
      <c r="K1087" s="37"/>
    </row>
    <row r="1088" spans="3:11" ht="15.5" thickTop="1" thickBot="1" x14ac:dyDescent="0.4">
      <c r="C1088" s="29"/>
      <c r="D1088" s="30"/>
      <c r="E1088" s="106" t="str">
        <f>IFERROR(VLOOKUP($D1088,NUMDIST[],2,FALSE),"DA Non trouvéé")</f>
        <v>DA Non trouvéé</v>
      </c>
      <c r="F1088" s="30"/>
      <c r="G1088" s="31"/>
      <c r="H1088" s="13">
        <v>0</v>
      </c>
      <c r="I1088" s="13">
        <v>0</v>
      </c>
      <c r="J1088" s="30"/>
      <c r="K1088" s="37"/>
    </row>
    <row r="1089" spans="3:11" ht="15.5" thickTop="1" thickBot="1" x14ac:dyDescent="0.4">
      <c r="C1089" s="29"/>
      <c r="D1089" s="30"/>
      <c r="E1089" s="106" t="str">
        <f>IFERROR(VLOOKUP($D1089,NUMDIST[],2,FALSE),"DA Non trouvéé")</f>
        <v>DA Non trouvéé</v>
      </c>
      <c r="F1089" s="30"/>
      <c r="G1089" s="31"/>
      <c r="H1089" s="13">
        <v>0</v>
      </c>
      <c r="I1089" s="13">
        <v>0</v>
      </c>
      <c r="J1089" s="30"/>
      <c r="K1089" s="37"/>
    </row>
    <row r="1090" spans="3:11" ht="15.5" thickTop="1" thickBot="1" x14ac:dyDescent="0.4">
      <c r="C1090" s="29"/>
      <c r="D1090" s="30"/>
      <c r="E1090" s="106" t="str">
        <f>IFERROR(VLOOKUP($D1090,NUMDIST[],2,FALSE),"DA Non trouvéé")</f>
        <v>DA Non trouvéé</v>
      </c>
      <c r="F1090" s="30"/>
      <c r="G1090" s="31"/>
      <c r="H1090" s="13">
        <v>0</v>
      </c>
      <c r="I1090" s="13">
        <v>0</v>
      </c>
      <c r="J1090" s="30"/>
      <c r="K1090" s="37"/>
    </row>
    <row r="1091" spans="3:11" ht="15.5" thickTop="1" thickBot="1" x14ac:dyDescent="0.4">
      <c r="C1091" s="29"/>
      <c r="D1091" s="30"/>
      <c r="E1091" s="106" t="str">
        <f>IFERROR(VLOOKUP($D1091,NUMDIST[],2,FALSE),"DA Non trouvéé")</f>
        <v>DA Non trouvéé</v>
      </c>
      <c r="F1091" s="30"/>
      <c r="G1091" s="31"/>
      <c r="H1091" s="13">
        <v>0</v>
      </c>
      <c r="I1091" s="13">
        <v>0</v>
      </c>
      <c r="J1091" s="30"/>
      <c r="K1091" s="37"/>
    </row>
    <row r="1092" spans="3:11" ht="15.5" thickTop="1" thickBot="1" x14ac:dyDescent="0.4">
      <c r="C1092" s="29"/>
      <c r="D1092" s="30"/>
      <c r="E1092" s="106" t="str">
        <f>IFERROR(VLOOKUP($D1092,NUMDIST[],2,FALSE),"DA Non trouvéé")</f>
        <v>DA Non trouvéé</v>
      </c>
      <c r="F1092" s="30"/>
      <c r="G1092" s="31"/>
      <c r="H1092" s="13">
        <v>0</v>
      </c>
      <c r="I1092" s="13">
        <v>0</v>
      </c>
      <c r="J1092" s="30"/>
      <c r="K1092" s="37"/>
    </row>
    <row r="1093" spans="3:11" ht="15.5" thickTop="1" thickBot="1" x14ac:dyDescent="0.4">
      <c r="C1093" s="29"/>
      <c r="D1093" s="30"/>
      <c r="E1093" s="106" t="str">
        <f>IFERROR(VLOOKUP($D1093,NUMDIST[],2,FALSE),"DA Non trouvéé")</f>
        <v>DA Non trouvéé</v>
      </c>
      <c r="F1093" s="30"/>
      <c r="G1093" s="31"/>
      <c r="H1093" s="13">
        <v>0</v>
      </c>
      <c r="I1093" s="13">
        <v>0</v>
      </c>
      <c r="J1093" s="30"/>
      <c r="K1093" s="37"/>
    </row>
    <row r="1094" spans="3:11" ht="15.5" thickTop="1" thickBot="1" x14ac:dyDescent="0.4">
      <c r="C1094" s="29"/>
      <c r="D1094" s="30"/>
      <c r="E1094" s="106" t="str">
        <f>IFERROR(VLOOKUP($D1094,NUMDIST[],2,FALSE),"DA Non trouvéé")</f>
        <v>DA Non trouvéé</v>
      </c>
      <c r="F1094" s="30"/>
      <c r="G1094" s="31"/>
      <c r="H1094" s="13">
        <v>0</v>
      </c>
      <c r="I1094" s="13">
        <v>0</v>
      </c>
      <c r="J1094" s="30"/>
      <c r="K1094" s="37"/>
    </row>
    <row r="1095" spans="3:11" ht="15.5" thickTop="1" thickBot="1" x14ac:dyDescent="0.4">
      <c r="C1095" s="29"/>
      <c r="D1095" s="30"/>
      <c r="E1095" s="106" t="str">
        <f>IFERROR(VLOOKUP($D1095,NUMDIST[],2,FALSE),"DA Non trouvéé")</f>
        <v>DA Non trouvéé</v>
      </c>
      <c r="F1095" s="30"/>
      <c r="G1095" s="31"/>
      <c r="H1095" s="13">
        <v>0</v>
      </c>
      <c r="I1095" s="13">
        <v>0</v>
      </c>
      <c r="J1095" s="30"/>
      <c r="K1095" s="37"/>
    </row>
    <row r="1096" spans="3:11" ht="15.5" thickTop="1" thickBot="1" x14ac:dyDescent="0.4">
      <c r="C1096" s="29"/>
      <c r="D1096" s="30"/>
      <c r="E1096" s="106" t="str">
        <f>IFERROR(VLOOKUP($D1096,NUMDIST[],2,FALSE),"DA Non trouvéé")</f>
        <v>DA Non trouvéé</v>
      </c>
      <c r="F1096" s="30"/>
      <c r="G1096" s="31"/>
      <c r="H1096" s="13">
        <v>0</v>
      </c>
      <c r="I1096" s="13">
        <v>0</v>
      </c>
      <c r="J1096" s="30"/>
      <c r="K1096" s="37"/>
    </row>
    <row r="1097" spans="3:11" ht="15.5" thickTop="1" thickBot="1" x14ac:dyDescent="0.4">
      <c r="C1097" s="29"/>
      <c r="D1097" s="30"/>
      <c r="E1097" s="106" t="str">
        <f>IFERROR(VLOOKUP($D1097,NUMDIST[],2,FALSE),"DA Non trouvéé")</f>
        <v>DA Non trouvéé</v>
      </c>
      <c r="F1097" s="30"/>
      <c r="G1097" s="31"/>
      <c r="H1097" s="13">
        <v>0</v>
      </c>
      <c r="I1097" s="13">
        <v>0</v>
      </c>
      <c r="J1097" s="30"/>
      <c r="K1097" s="37"/>
    </row>
    <row r="1098" spans="3:11" ht="15.5" thickTop="1" thickBot="1" x14ac:dyDescent="0.4">
      <c r="C1098" s="29"/>
      <c r="D1098" s="30"/>
      <c r="E1098" s="106" t="str">
        <f>IFERROR(VLOOKUP($D1098,NUMDIST[],2,FALSE),"DA Non trouvéé")</f>
        <v>DA Non trouvéé</v>
      </c>
      <c r="F1098" s="30"/>
      <c r="G1098" s="31"/>
      <c r="H1098" s="13">
        <v>0</v>
      </c>
      <c r="I1098" s="13">
        <v>0</v>
      </c>
      <c r="J1098" s="30"/>
      <c r="K1098" s="37"/>
    </row>
    <row r="1099" spans="3:11" ht="15.5" thickTop="1" thickBot="1" x14ac:dyDescent="0.4">
      <c r="C1099" s="29"/>
      <c r="D1099" s="30"/>
      <c r="E1099" s="106" t="str">
        <f>IFERROR(VLOOKUP($D1099,NUMDIST[],2,FALSE),"DA Non trouvéé")</f>
        <v>DA Non trouvéé</v>
      </c>
      <c r="F1099" s="30"/>
      <c r="G1099" s="31"/>
      <c r="H1099" s="13">
        <v>0</v>
      </c>
      <c r="I1099" s="13">
        <v>0</v>
      </c>
      <c r="J1099" s="30"/>
      <c r="K1099" s="37"/>
    </row>
    <row r="1100" spans="3:11" ht="15.5" thickTop="1" thickBot="1" x14ac:dyDescent="0.4">
      <c r="C1100" s="29"/>
      <c r="D1100" s="30"/>
      <c r="E1100" s="106" t="str">
        <f>IFERROR(VLOOKUP($D1100,NUMDIST[],2,FALSE),"DA Non trouvéé")</f>
        <v>DA Non trouvéé</v>
      </c>
      <c r="F1100" s="30"/>
      <c r="G1100" s="31"/>
      <c r="H1100" s="13">
        <v>0</v>
      </c>
      <c r="I1100" s="13">
        <v>0</v>
      </c>
      <c r="J1100" s="30"/>
      <c r="K1100" s="37"/>
    </row>
    <row r="1101" spans="3:11" ht="15.5" thickTop="1" thickBot="1" x14ac:dyDescent="0.4">
      <c r="C1101" s="29"/>
      <c r="D1101" s="30"/>
      <c r="E1101" s="106" t="str">
        <f>IFERROR(VLOOKUP($D1101,NUMDIST[],2,FALSE),"DA Non trouvéé")</f>
        <v>DA Non trouvéé</v>
      </c>
      <c r="F1101" s="30"/>
      <c r="G1101" s="31"/>
      <c r="H1101" s="13">
        <v>0</v>
      </c>
      <c r="I1101" s="13">
        <v>0</v>
      </c>
      <c r="J1101" s="30"/>
      <c r="K1101" s="37"/>
    </row>
    <row r="1102" spans="3:11" ht="15.5" thickTop="1" thickBot="1" x14ac:dyDescent="0.4">
      <c r="C1102" s="29"/>
      <c r="D1102" s="30"/>
      <c r="E1102" s="106" t="str">
        <f>IFERROR(VLOOKUP($D1102,NUMDIST[],2,FALSE),"DA Non trouvéé")</f>
        <v>DA Non trouvéé</v>
      </c>
      <c r="F1102" s="30"/>
      <c r="G1102" s="31"/>
      <c r="H1102" s="13">
        <v>0</v>
      </c>
      <c r="I1102" s="13">
        <v>0</v>
      </c>
      <c r="J1102" s="30"/>
      <c r="K1102" s="37"/>
    </row>
    <row r="1103" spans="3:11" ht="15.5" thickTop="1" thickBot="1" x14ac:dyDescent="0.4">
      <c r="C1103" s="29"/>
      <c r="D1103" s="30"/>
      <c r="E1103" s="106" t="str">
        <f>IFERROR(VLOOKUP($D1103,NUMDIST[],2,FALSE),"DA Non trouvéé")</f>
        <v>DA Non trouvéé</v>
      </c>
      <c r="F1103" s="30"/>
      <c r="G1103" s="31"/>
      <c r="H1103" s="13">
        <v>0</v>
      </c>
      <c r="I1103" s="13">
        <v>0</v>
      </c>
      <c r="J1103" s="30"/>
      <c r="K1103" s="37"/>
    </row>
    <row r="1104" spans="3:11" ht="15.5" thickTop="1" thickBot="1" x14ac:dyDescent="0.4">
      <c r="C1104" s="29"/>
      <c r="D1104" s="30"/>
      <c r="E1104" s="106" t="str">
        <f>IFERROR(VLOOKUP($D1104,NUMDIST[],2,FALSE),"DA Non trouvéé")</f>
        <v>DA Non trouvéé</v>
      </c>
      <c r="F1104" s="30"/>
      <c r="G1104" s="31"/>
      <c r="H1104" s="13">
        <v>0</v>
      </c>
      <c r="I1104" s="13">
        <v>0</v>
      </c>
      <c r="J1104" s="30"/>
      <c r="K1104" s="37"/>
    </row>
    <row r="1105" spans="3:11" ht="15.5" thickTop="1" thickBot="1" x14ac:dyDescent="0.4">
      <c r="C1105" s="29"/>
      <c r="D1105" s="30"/>
      <c r="E1105" s="106" t="str">
        <f>IFERROR(VLOOKUP($D1105,NUMDIST[],2,FALSE),"DA Non trouvéé")</f>
        <v>DA Non trouvéé</v>
      </c>
      <c r="F1105" s="30"/>
      <c r="G1105" s="31"/>
      <c r="H1105" s="13">
        <v>0</v>
      </c>
      <c r="I1105" s="13">
        <v>0</v>
      </c>
      <c r="J1105" s="30"/>
      <c r="K1105" s="37"/>
    </row>
    <row r="1106" spans="3:11" ht="15.5" thickTop="1" thickBot="1" x14ac:dyDescent="0.4">
      <c r="C1106" s="29"/>
      <c r="D1106" s="30"/>
      <c r="E1106" s="106" t="str">
        <f>IFERROR(VLOOKUP($D1106,NUMDIST[],2,FALSE),"DA Non trouvéé")</f>
        <v>DA Non trouvéé</v>
      </c>
      <c r="F1106" s="30"/>
      <c r="G1106" s="31"/>
      <c r="H1106" s="13">
        <v>0</v>
      </c>
      <c r="I1106" s="13">
        <v>0</v>
      </c>
      <c r="J1106" s="30"/>
      <c r="K1106" s="37"/>
    </row>
    <row r="1107" spans="3:11" ht="15.5" thickTop="1" thickBot="1" x14ac:dyDescent="0.4">
      <c r="C1107" s="29"/>
      <c r="D1107" s="30"/>
      <c r="E1107" s="106" t="str">
        <f>IFERROR(VLOOKUP($D1107,NUMDIST[],2,FALSE),"DA Non trouvéé")</f>
        <v>DA Non trouvéé</v>
      </c>
      <c r="F1107" s="30"/>
      <c r="G1107" s="31"/>
      <c r="H1107" s="13">
        <v>0</v>
      </c>
      <c r="I1107" s="13">
        <v>0</v>
      </c>
      <c r="J1107" s="30"/>
      <c r="K1107" s="37"/>
    </row>
    <row r="1108" spans="3:11" ht="15.5" thickTop="1" thickBot="1" x14ac:dyDescent="0.4">
      <c r="C1108" s="29"/>
      <c r="D1108" s="30"/>
      <c r="E1108" s="106" t="str">
        <f>IFERROR(VLOOKUP($D1108,NUMDIST[],2,FALSE),"DA Non trouvéé")</f>
        <v>DA Non trouvéé</v>
      </c>
      <c r="F1108" s="30"/>
      <c r="G1108" s="31"/>
      <c r="H1108" s="13">
        <v>0</v>
      </c>
      <c r="I1108" s="13">
        <v>0</v>
      </c>
      <c r="J1108" s="30"/>
      <c r="K1108" s="37"/>
    </row>
    <row r="1109" spans="3:11" ht="15.5" thickTop="1" thickBot="1" x14ac:dyDescent="0.4">
      <c r="C1109" s="29"/>
      <c r="D1109" s="30"/>
      <c r="E1109" s="106" t="str">
        <f>IFERROR(VLOOKUP($D1109,NUMDIST[],2,FALSE),"DA Non trouvéé")</f>
        <v>DA Non trouvéé</v>
      </c>
      <c r="F1109" s="30"/>
      <c r="G1109" s="31"/>
      <c r="H1109" s="13">
        <v>0</v>
      </c>
      <c r="I1109" s="13">
        <v>0</v>
      </c>
      <c r="J1109" s="30"/>
      <c r="K1109" s="37"/>
    </row>
    <row r="1110" spans="3:11" ht="15.5" thickTop="1" thickBot="1" x14ac:dyDescent="0.4">
      <c r="C1110" s="29"/>
      <c r="D1110" s="30"/>
      <c r="E1110" s="106" t="str">
        <f>IFERROR(VLOOKUP($D1110,NUMDIST[],2,FALSE),"DA Non trouvéé")</f>
        <v>DA Non trouvéé</v>
      </c>
      <c r="F1110" s="30"/>
      <c r="G1110" s="31"/>
      <c r="H1110" s="13">
        <v>0</v>
      </c>
      <c r="I1110" s="13">
        <v>0</v>
      </c>
      <c r="J1110" s="30"/>
      <c r="K1110" s="37"/>
    </row>
    <row r="1111" spans="3:11" ht="15.5" thickTop="1" thickBot="1" x14ac:dyDescent="0.4">
      <c r="C1111" s="29"/>
      <c r="D1111" s="30"/>
      <c r="E1111" s="106" t="str">
        <f>IFERROR(VLOOKUP($D1111,NUMDIST[],2,FALSE),"DA Non trouvéé")</f>
        <v>DA Non trouvéé</v>
      </c>
      <c r="F1111" s="30"/>
      <c r="G1111" s="31"/>
      <c r="H1111" s="13">
        <v>0</v>
      </c>
      <c r="I1111" s="13">
        <v>0</v>
      </c>
      <c r="J1111" s="30"/>
      <c r="K1111" s="37"/>
    </row>
    <row r="1112" spans="3:11" ht="15.5" thickTop="1" thickBot="1" x14ac:dyDescent="0.4">
      <c r="C1112" s="29"/>
      <c r="D1112" s="30"/>
      <c r="E1112" s="106" t="str">
        <f>IFERROR(VLOOKUP($D1112,NUMDIST[],2,FALSE),"DA Non trouvéé")</f>
        <v>DA Non trouvéé</v>
      </c>
      <c r="F1112" s="30"/>
      <c r="G1112" s="31"/>
      <c r="H1112" s="13">
        <v>0</v>
      </c>
      <c r="I1112" s="13">
        <v>0</v>
      </c>
      <c r="J1112" s="30"/>
      <c r="K1112" s="37"/>
    </row>
    <row r="1113" spans="3:11" ht="15.5" thickTop="1" thickBot="1" x14ac:dyDescent="0.4">
      <c r="C1113" s="29"/>
      <c r="D1113" s="30"/>
      <c r="E1113" s="106" t="str">
        <f>IFERROR(VLOOKUP($D1113,NUMDIST[],2,FALSE),"DA Non trouvéé")</f>
        <v>DA Non trouvéé</v>
      </c>
      <c r="F1113" s="30"/>
      <c r="G1113" s="31"/>
      <c r="H1113" s="13">
        <v>0</v>
      </c>
      <c r="I1113" s="13">
        <v>0</v>
      </c>
      <c r="J1113" s="30"/>
      <c r="K1113" s="37"/>
    </row>
    <row r="1114" spans="3:11" ht="15.5" thickTop="1" thickBot="1" x14ac:dyDescent="0.4">
      <c r="C1114" s="29"/>
      <c r="D1114" s="30"/>
      <c r="E1114" s="106" t="str">
        <f>IFERROR(VLOOKUP($D1114,NUMDIST[],2,FALSE),"DA Non trouvéé")</f>
        <v>DA Non trouvéé</v>
      </c>
      <c r="F1114" s="30"/>
      <c r="G1114" s="31"/>
      <c r="H1114" s="13">
        <v>0</v>
      </c>
      <c r="I1114" s="13">
        <v>0</v>
      </c>
      <c r="J1114" s="30"/>
      <c r="K1114" s="37"/>
    </row>
    <row r="1115" spans="3:11" ht="15.5" thickTop="1" thickBot="1" x14ac:dyDescent="0.4">
      <c r="C1115" s="29"/>
      <c r="D1115" s="30"/>
      <c r="E1115" s="106" t="str">
        <f>IFERROR(VLOOKUP($D1115,NUMDIST[],2,FALSE),"DA Non trouvéé")</f>
        <v>DA Non trouvéé</v>
      </c>
      <c r="F1115" s="30"/>
      <c r="G1115" s="31"/>
      <c r="H1115" s="13">
        <v>0</v>
      </c>
      <c r="I1115" s="13">
        <v>0</v>
      </c>
      <c r="J1115" s="30"/>
      <c r="K1115" s="37"/>
    </row>
    <row r="1116" spans="3:11" ht="15.5" thickTop="1" thickBot="1" x14ac:dyDescent="0.4">
      <c r="C1116" s="29"/>
      <c r="D1116" s="30"/>
      <c r="E1116" s="106" t="str">
        <f>IFERROR(VLOOKUP($D1116,NUMDIST[],2,FALSE),"DA Non trouvéé")</f>
        <v>DA Non trouvéé</v>
      </c>
      <c r="F1116" s="30"/>
      <c r="G1116" s="31"/>
      <c r="H1116" s="13">
        <v>0</v>
      </c>
      <c r="I1116" s="13">
        <v>0</v>
      </c>
      <c r="J1116" s="30"/>
      <c r="K1116" s="37"/>
    </row>
    <row r="1117" spans="3:11" ht="15.5" thickTop="1" thickBot="1" x14ac:dyDescent="0.4">
      <c r="C1117" s="29"/>
      <c r="D1117" s="30"/>
      <c r="E1117" s="106" t="str">
        <f>IFERROR(VLOOKUP($D1117,NUMDIST[],2,FALSE),"DA Non trouvéé")</f>
        <v>DA Non trouvéé</v>
      </c>
      <c r="F1117" s="30"/>
      <c r="G1117" s="31"/>
      <c r="H1117" s="13">
        <v>0</v>
      </c>
      <c r="I1117" s="13">
        <v>0</v>
      </c>
      <c r="J1117" s="30"/>
      <c r="K1117" s="37"/>
    </row>
    <row r="1118" spans="3:11" ht="15.5" thickTop="1" thickBot="1" x14ac:dyDescent="0.4">
      <c r="C1118" s="29"/>
      <c r="D1118" s="30"/>
      <c r="E1118" s="106" t="str">
        <f>IFERROR(VLOOKUP($D1118,NUMDIST[],2,FALSE),"DA Non trouvéé")</f>
        <v>DA Non trouvéé</v>
      </c>
      <c r="F1118" s="30"/>
      <c r="G1118" s="31"/>
      <c r="H1118" s="13">
        <v>0</v>
      </c>
      <c r="I1118" s="13">
        <v>0</v>
      </c>
      <c r="J1118" s="30"/>
      <c r="K1118" s="37"/>
    </row>
    <row r="1119" spans="3:11" ht="15.5" thickTop="1" thickBot="1" x14ac:dyDescent="0.4">
      <c r="C1119" s="29"/>
      <c r="D1119" s="30"/>
      <c r="E1119" s="106" t="str">
        <f>IFERROR(VLOOKUP($D1119,NUMDIST[],2,FALSE),"DA Non trouvéé")</f>
        <v>DA Non trouvéé</v>
      </c>
      <c r="F1119" s="30"/>
      <c r="G1119" s="31"/>
      <c r="H1119" s="13">
        <v>0</v>
      </c>
      <c r="I1119" s="13">
        <v>0</v>
      </c>
      <c r="J1119" s="30"/>
      <c r="K1119" s="37"/>
    </row>
    <row r="1120" spans="3:11" ht="15.5" thickTop="1" thickBot="1" x14ac:dyDescent="0.4">
      <c r="C1120" s="29"/>
      <c r="D1120" s="30"/>
      <c r="E1120" s="106" t="str">
        <f>IFERROR(VLOOKUP($D1120,NUMDIST[],2,FALSE),"DA Non trouvéé")</f>
        <v>DA Non trouvéé</v>
      </c>
      <c r="F1120" s="30"/>
      <c r="G1120" s="31"/>
      <c r="H1120" s="13">
        <v>0</v>
      </c>
      <c r="I1120" s="13">
        <v>0</v>
      </c>
      <c r="J1120" s="30"/>
      <c r="K1120" s="37"/>
    </row>
    <row r="1121" spans="3:11" ht="15.5" thickTop="1" thickBot="1" x14ac:dyDescent="0.4">
      <c r="C1121" s="29"/>
      <c r="D1121" s="30"/>
      <c r="E1121" s="106" t="str">
        <f>IFERROR(VLOOKUP($D1121,NUMDIST[],2,FALSE),"DA Non trouvéé")</f>
        <v>DA Non trouvéé</v>
      </c>
      <c r="F1121" s="30"/>
      <c r="G1121" s="31"/>
      <c r="H1121" s="13">
        <v>0</v>
      </c>
      <c r="I1121" s="13">
        <v>0</v>
      </c>
      <c r="J1121" s="30"/>
      <c r="K1121" s="37"/>
    </row>
    <row r="1122" spans="3:11" ht="15.5" thickTop="1" thickBot="1" x14ac:dyDescent="0.4">
      <c r="C1122" s="29"/>
      <c r="D1122" s="30"/>
      <c r="E1122" s="106" t="str">
        <f>IFERROR(VLOOKUP($D1122,NUMDIST[],2,FALSE),"DA Non trouvéé")</f>
        <v>DA Non trouvéé</v>
      </c>
      <c r="F1122" s="30"/>
      <c r="G1122" s="31"/>
      <c r="H1122" s="13">
        <v>0</v>
      </c>
      <c r="I1122" s="13">
        <v>0</v>
      </c>
      <c r="J1122" s="30"/>
      <c r="K1122" s="37"/>
    </row>
    <row r="1123" spans="3:11" ht="15.5" thickTop="1" thickBot="1" x14ac:dyDescent="0.4">
      <c r="C1123" s="29"/>
      <c r="D1123" s="30"/>
      <c r="E1123" s="106" t="str">
        <f>IFERROR(VLOOKUP($D1123,NUMDIST[],2,FALSE),"DA Non trouvéé")</f>
        <v>DA Non trouvéé</v>
      </c>
      <c r="F1123" s="30"/>
      <c r="G1123" s="31"/>
      <c r="H1123" s="13">
        <v>0</v>
      </c>
      <c r="I1123" s="13">
        <v>0</v>
      </c>
      <c r="J1123" s="30"/>
      <c r="K1123" s="37"/>
    </row>
    <row r="1124" spans="3:11" ht="15.5" thickTop="1" thickBot="1" x14ac:dyDescent="0.4">
      <c r="C1124" s="29"/>
      <c r="D1124" s="30"/>
      <c r="E1124" s="106" t="str">
        <f>IFERROR(VLOOKUP($D1124,NUMDIST[],2,FALSE),"DA Non trouvéé")</f>
        <v>DA Non trouvéé</v>
      </c>
      <c r="F1124" s="30"/>
      <c r="G1124" s="31"/>
      <c r="H1124" s="13">
        <v>0</v>
      </c>
      <c r="I1124" s="13">
        <v>0</v>
      </c>
      <c r="J1124" s="30"/>
      <c r="K1124" s="37"/>
    </row>
    <row r="1125" spans="3:11" ht="15.5" thickTop="1" thickBot="1" x14ac:dyDescent="0.4">
      <c r="C1125" s="29"/>
      <c r="D1125" s="30"/>
      <c r="E1125" s="106" t="str">
        <f>IFERROR(VLOOKUP($D1125,NUMDIST[],2,FALSE),"DA Non trouvéé")</f>
        <v>DA Non trouvéé</v>
      </c>
      <c r="F1125" s="30"/>
      <c r="G1125" s="31"/>
      <c r="H1125" s="13">
        <v>0</v>
      </c>
      <c r="I1125" s="13">
        <v>0</v>
      </c>
      <c r="J1125" s="30"/>
      <c r="K1125" s="37"/>
    </row>
    <row r="1126" spans="3:11" ht="15.5" thickTop="1" thickBot="1" x14ac:dyDescent="0.4">
      <c r="C1126" s="29"/>
      <c r="D1126" s="30"/>
      <c r="E1126" s="106" t="str">
        <f>IFERROR(VLOOKUP($D1126,NUMDIST[],2,FALSE),"DA Non trouvéé")</f>
        <v>DA Non trouvéé</v>
      </c>
      <c r="F1126" s="30"/>
      <c r="G1126" s="31"/>
      <c r="H1126" s="13">
        <v>0</v>
      </c>
      <c r="I1126" s="13">
        <v>0</v>
      </c>
      <c r="J1126" s="30"/>
      <c r="K1126" s="37"/>
    </row>
    <row r="1127" spans="3:11" ht="15.5" thickTop="1" thickBot="1" x14ac:dyDescent="0.4">
      <c r="C1127" s="29"/>
      <c r="D1127" s="30"/>
      <c r="E1127" s="106" t="str">
        <f>IFERROR(VLOOKUP($D1127,NUMDIST[],2,FALSE),"DA Non trouvéé")</f>
        <v>DA Non trouvéé</v>
      </c>
      <c r="F1127" s="30"/>
      <c r="G1127" s="31"/>
      <c r="H1127" s="13">
        <v>0</v>
      </c>
      <c r="I1127" s="13">
        <v>0</v>
      </c>
      <c r="J1127" s="30"/>
      <c r="K1127" s="37"/>
    </row>
    <row r="1128" spans="3:11" ht="15.5" thickTop="1" thickBot="1" x14ac:dyDescent="0.4">
      <c r="C1128" s="29"/>
      <c r="D1128" s="30"/>
      <c r="E1128" s="106" t="str">
        <f>IFERROR(VLOOKUP($D1128,NUMDIST[],2,FALSE),"DA Non trouvéé")</f>
        <v>DA Non trouvéé</v>
      </c>
      <c r="F1128" s="30"/>
      <c r="G1128" s="31"/>
      <c r="H1128" s="13">
        <v>0</v>
      </c>
      <c r="I1128" s="13">
        <v>0</v>
      </c>
      <c r="J1128" s="30"/>
      <c r="K1128" s="37"/>
    </row>
    <row r="1129" spans="3:11" ht="15.5" thickTop="1" thickBot="1" x14ac:dyDescent="0.4">
      <c r="C1129" s="29"/>
      <c r="D1129" s="30"/>
      <c r="E1129" s="106" t="str">
        <f>IFERROR(VLOOKUP($D1129,NUMDIST[],2,FALSE),"DA Non trouvéé")</f>
        <v>DA Non trouvéé</v>
      </c>
      <c r="F1129" s="30"/>
      <c r="G1129" s="31"/>
      <c r="H1129" s="13">
        <v>0</v>
      </c>
      <c r="I1129" s="13">
        <v>0</v>
      </c>
      <c r="J1129" s="30"/>
      <c r="K1129" s="37"/>
    </row>
    <row r="1130" spans="3:11" ht="15.5" thickTop="1" thickBot="1" x14ac:dyDescent="0.4">
      <c r="C1130" s="29"/>
      <c r="D1130" s="30"/>
      <c r="E1130" s="106" t="str">
        <f>IFERROR(VLOOKUP($D1130,NUMDIST[],2,FALSE),"DA Non trouvéé")</f>
        <v>DA Non trouvéé</v>
      </c>
      <c r="F1130" s="30"/>
      <c r="G1130" s="31"/>
      <c r="H1130" s="13">
        <v>0</v>
      </c>
      <c r="I1130" s="13">
        <v>0</v>
      </c>
      <c r="J1130" s="30"/>
      <c r="K1130" s="37"/>
    </row>
    <row r="1131" spans="3:11" ht="15.5" thickTop="1" thickBot="1" x14ac:dyDescent="0.4">
      <c r="C1131" s="29"/>
      <c r="D1131" s="30"/>
      <c r="E1131" s="106" t="str">
        <f>IFERROR(VLOOKUP($D1131,NUMDIST[],2,FALSE),"DA Non trouvéé")</f>
        <v>DA Non trouvéé</v>
      </c>
      <c r="F1131" s="30"/>
      <c r="G1131" s="31"/>
      <c r="H1131" s="13">
        <v>0</v>
      </c>
      <c r="I1131" s="13">
        <v>0</v>
      </c>
      <c r="J1131" s="30"/>
      <c r="K1131" s="37"/>
    </row>
    <row r="1132" spans="3:11" ht="15.5" thickTop="1" thickBot="1" x14ac:dyDescent="0.4">
      <c r="C1132" s="29"/>
      <c r="D1132" s="30"/>
      <c r="E1132" s="106" t="str">
        <f>IFERROR(VLOOKUP($D1132,NUMDIST[],2,FALSE),"DA Non trouvéé")</f>
        <v>DA Non trouvéé</v>
      </c>
      <c r="F1132" s="30"/>
      <c r="G1132" s="31"/>
      <c r="H1132" s="13">
        <v>0</v>
      </c>
      <c r="I1132" s="13">
        <v>0</v>
      </c>
      <c r="J1132" s="30"/>
      <c r="K1132" s="37"/>
    </row>
    <row r="1133" spans="3:11" ht="15.5" thickTop="1" thickBot="1" x14ac:dyDescent="0.4">
      <c r="C1133" s="29"/>
      <c r="D1133" s="30"/>
      <c r="E1133" s="106" t="str">
        <f>IFERROR(VLOOKUP($D1133,NUMDIST[],2,FALSE),"DA Non trouvéé")</f>
        <v>DA Non trouvéé</v>
      </c>
      <c r="F1133" s="30"/>
      <c r="G1133" s="31"/>
      <c r="H1133" s="13">
        <v>0</v>
      </c>
      <c r="I1133" s="13">
        <v>0</v>
      </c>
      <c r="J1133" s="30"/>
      <c r="K1133" s="37"/>
    </row>
    <row r="1134" spans="3:11" ht="15.5" thickTop="1" thickBot="1" x14ac:dyDescent="0.4">
      <c r="C1134" s="29"/>
      <c r="D1134" s="30"/>
      <c r="E1134" s="106" t="str">
        <f>IFERROR(VLOOKUP($D1134,NUMDIST[],2,FALSE),"DA Non trouvéé")</f>
        <v>DA Non trouvéé</v>
      </c>
      <c r="F1134" s="30"/>
      <c r="G1134" s="31"/>
      <c r="H1134" s="13">
        <v>0</v>
      </c>
      <c r="I1134" s="13">
        <v>0</v>
      </c>
      <c r="J1134" s="30"/>
      <c r="K1134" s="37"/>
    </row>
    <row r="1135" spans="3:11" ht="15.5" thickTop="1" thickBot="1" x14ac:dyDescent="0.4">
      <c r="C1135" s="29"/>
      <c r="D1135" s="30"/>
      <c r="E1135" s="106" t="str">
        <f>IFERROR(VLOOKUP($D1135,NUMDIST[],2,FALSE),"DA Non trouvéé")</f>
        <v>DA Non trouvéé</v>
      </c>
      <c r="F1135" s="30"/>
      <c r="G1135" s="31"/>
      <c r="H1135" s="13">
        <v>0</v>
      </c>
      <c r="I1135" s="13">
        <v>0</v>
      </c>
      <c r="J1135" s="30"/>
      <c r="K1135" s="37"/>
    </row>
    <row r="1136" spans="3:11" ht="15.5" thickTop="1" thickBot="1" x14ac:dyDescent="0.4">
      <c r="C1136" s="29"/>
      <c r="D1136" s="30"/>
      <c r="E1136" s="106" t="str">
        <f>IFERROR(VLOOKUP($D1136,NUMDIST[],2,FALSE),"DA Non trouvéé")</f>
        <v>DA Non trouvéé</v>
      </c>
      <c r="F1136" s="30"/>
      <c r="G1136" s="31"/>
      <c r="H1136" s="13">
        <v>0</v>
      </c>
      <c r="I1136" s="13">
        <v>0</v>
      </c>
      <c r="J1136" s="30"/>
      <c r="K1136" s="37"/>
    </row>
    <row r="1137" spans="3:11" ht="15.5" thickTop="1" thickBot="1" x14ac:dyDescent="0.4">
      <c r="C1137" s="29"/>
      <c r="D1137" s="30"/>
      <c r="E1137" s="106" t="str">
        <f>IFERROR(VLOOKUP($D1137,NUMDIST[],2,FALSE),"DA Non trouvéé")</f>
        <v>DA Non trouvéé</v>
      </c>
      <c r="F1137" s="30"/>
      <c r="G1137" s="31"/>
      <c r="H1137" s="13">
        <v>0</v>
      </c>
      <c r="I1137" s="13">
        <v>0</v>
      </c>
      <c r="J1137" s="30"/>
      <c r="K1137" s="37"/>
    </row>
    <row r="1138" spans="3:11" ht="15.5" thickTop="1" thickBot="1" x14ac:dyDescent="0.4">
      <c r="C1138" s="29"/>
      <c r="D1138" s="30"/>
      <c r="E1138" s="106" t="str">
        <f>IFERROR(VLOOKUP($D1138,NUMDIST[],2,FALSE),"DA Non trouvéé")</f>
        <v>DA Non trouvéé</v>
      </c>
      <c r="F1138" s="30"/>
      <c r="G1138" s="31"/>
      <c r="H1138" s="13">
        <v>0</v>
      </c>
      <c r="I1138" s="13">
        <v>0</v>
      </c>
      <c r="J1138" s="30"/>
      <c r="K1138" s="37"/>
    </row>
    <row r="1139" spans="3:11" ht="15.5" thickTop="1" thickBot="1" x14ac:dyDescent="0.4">
      <c r="C1139" s="29"/>
      <c r="D1139" s="30"/>
      <c r="E1139" s="106" t="str">
        <f>IFERROR(VLOOKUP($D1139,NUMDIST[],2,FALSE),"DA Non trouvéé")</f>
        <v>DA Non trouvéé</v>
      </c>
      <c r="F1139" s="30"/>
      <c r="G1139" s="31"/>
      <c r="H1139" s="13">
        <v>0</v>
      </c>
      <c r="I1139" s="13">
        <v>0</v>
      </c>
      <c r="J1139" s="30"/>
      <c r="K1139" s="37"/>
    </row>
    <row r="1140" spans="3:11" ht="15.5" thickTop="1" thickBot="1" x14ac:dyDescent="0.4">
      <c r="C1140" s="29"/>
      <c r="D1140" s="30"/>
      <c r="E1140" s="106" t="str">
        <f>IFERROR(VLOOKUP($D1140,NUMDIST[],2,FALSE),"DA Non trouvéé")</f>
        <v>DA Non trouvéé</v>
      </c>
      <c r="F1140" s="30"/>
      <c r="G1140" s="31"/>
      <c r="H1140" s="13">
        <v>0</v>
      </c>
      <c r="I1140" s="13">
        <v>0</v>
      </c>
      <c r="J1140" s="30"/>
      <c r="K1140" s="37"/>
    </row>
    <row r="1141" spans="3:11" ht="15.5" thickTop="1" thickBot="1" x14ac:dyDescent="0.4">
      <c r="C1141" s="29"/>
      <c r="D1141" s="30"/>
      <c r="E1141" s="106" t="str">
        <f>IFERROR(VLOOKUP($D1141,NUMDIST[],2,FALSE),"DA Non trouvéé")</f>
        <v>DA Non trouvéé</v>
      </c>
      <c r="F1141" s="30"/>
      <c r="G1141" s="31"/>
      <c r="H1141" s="13">
        <v>0</v>
      </c>
      <c r="I1141" s="13">
        <v>0</v>
      </c>
      <c r="J1141" s="30"/>
      <c r="K1141" s="37"/>
    </row>
    <row r="1142" spans="3:11" ht="15.5" thickTop="1" thickBot="1" x14ac:dyDescent="0.4">
      <c r="C1142" s="29"/>
      <c r="D1142" s="30"/>
      <c r="E1142" s="106" t="str">
        <f>IFERROR(VLOOKUP($D1142,NUMDIST[],2,FALSE),"DA Non trouvéé")</f>
        <v>DA Non trouvéé</v>
      </c>
      <c r="F1142" s="30"/>
      <c r="G1142" s="31"/>
      <c r="H1142" s="13">
        <v>0</v>
      </c>
      <c r="I1142" s="13">
        <v>0</v>
      </c>
      <c r="J1142" s="30"/>
      <c r="K1142" s="37"/>
    </row>
    <row r="1143" spans="3:11" ht="15.5" thickTop="1" thickBot="1" x14ac:dyDescent="0.4">
      <c r="C1143" s="29"/>
      <c r="D1143" s="30"/>
      <c r="E1143" s="106" t="str">
        <f>IFERROR(VLOOKUP($D1143,NUMDIST[],2,FALSE),"DA Non trouvéé")</f>
        <v>DA Non trouvéé</v>
      </c>
      <c r="F1143" s="30"/>
      <c r="G1143" s="31"/>
      <c r="H1143" s="13">
        <v>0</v>
      </c>
      <c r="I1143" s="13">
        <v>0</v>
      </c>
      <c r="J1143" s="30"/>
      <c r="K1143" s="37"/>
    </row>
    <row r="1144" spans="3:11" ht="15.5" thickTop="1" thickBot="1" x14ac:dyDescent="0.4">
      <c r="C1144" s="29"/>
      <c r="D1144" s="30"/>
      <c r="E1144" s="106" t="str">
        <f>IFERROR(VLOOKUP($D1144,NUMDIST[],2,FALSE),"DA Non trouvéé")</f>
        <v>DA Non trouvéé</v>
      </c>
      <c r="F1144" s="30"/>
      <c r="G1144" s="31"/>
      <c r="H1144" s="13">
        <v>0</v>
      </c>
      <c r="I1144" s="13">
        <v>0</v>
      </c>
      <c r="J1144" s="30"/>
      <c r="K1144" s="37"/>
    </row>
    <row r="1145" spans="3:11" ht="15.5" thickTop="1" thickBot="1" x14ac:dyDescent="0.4">
      <c r="C1145" s="29"/>
      <c r="D1145" s="30"/>
      <c r="E1145" s="106" t="str">
        <f>IFERROR(VLOOKUP($D1145,NUMDIST[],2,FALSE),"DA Non trouvéé")</f>
        <v>DA Non trouvéé</v>
      </c>
      <c r="F1145" s="30"/>
      <c r="G1145" s="31"/>
      <c r="H1145" s="13">
        <v>0</v>
      </c>
      <c r="I1145" s="13">
        <v>0</v>
      </c>
      <c r="J1145" s="30"/>
      <c r="K1145" s="37"/>
    </row>
    <row r="1146" spans="3:11" ht="15.5" thickTop="1" thickBot="1" x14ac:dyDescent="0.4">
      <c r="C1146" s="29"/>
      <c r="D1146" s="30"/>
      <c r="E1146" s="106" t="str">
        <f>IFERROR(VLOOKUP($D1146,NUMDIST[],2,FALSE),"DA Non trouvéé")</f>
        <v>DA Non trouvéé</v>
      </c>
      <c r="F1146" s="30"/>
      <c r="G1146" s="31"/>
      <c r="H1146" s="13">
        <v>0</v>
      </c>
      <c r="I1146" s="13">
        <v>0</v>
      </c>
      <c r="J1146" s="30"/>
      <c r="K1146" s="37"/>
    </row>
    <row r="1147" spans="3:11" ht="15.5" thickTop="1" thickBot="1" x14ac:dyDescent="0.4">
      <c r="C1147" s="29"/>
      <c r="D1147" s="30"/>
      <c r="E1147" s="106" t="str">
        <f>IFERROR(VLOOKUP($D1147,NUMDIST[],2,FALSE),"DA Non trouvéé")</f>
        <v>DA Non trouvéé</v>
      </c>
      <c r="F1147" s="30"/>
      <c r="G1147" s="31"/>
      <c r="H1147" s="13">
        <v>0</v>
      </c>
      <c r="I1147" s="13">
        <v>0</v>
      </c>
      <c r="J1147" s="30"/>
      <c r="K1147" s="37"/>
    </row>
    <row r="1148" spans="3:11" ht="15.5" thickTop="1" thickBot="1" x14ac:dyDescent="0.4">
      <c r="C1148" s="29"/>
      <c r="D1148" s="30"/>
      <c r="E1148" s="106" t="str">
        <f>IFERROR(VLOOKUP($D1148,NUMDIST[],2,FALSE),"DA Non trouvéé")</f>
        <v>DA Non trouvéé</v>
      </c>
      <c r="F1148" s="30"/>
      <c r="G1148" s="31"/>
      <c r="H1148" s="13">
        <v>0</v>
      </c>
      <c r="I1148" s="13">
        <v>0</v>
      </c>
      <c r="J1148" s="30"/>
      <c r="K1148" s="37"/>
    </row>
    <row r="1149" spans="3:11" ht="15.5" thickTop="1" thickBot="1" x14ac:dyDescent="0.4">
      <c r="C1149" s="29"/>
      <c r="D1149" s="30"/>
      <c r="E1149" s="106" t="str">
        <f>IFERROR(VLOOKUP($D1149,NUMDIST[],2,FALSE),"DA Non trouvéé")</f>
        <v>DA Non trouvéé</v>
      </c>
      <c r="F1149" s="30"/>
      <c r="G1149" s="31"/>
      <c r="H1149" s="13">
        <v>0</v>
      </c>
      <c r="I1149" s="13">
        <v>0</v>
      </c>
      <c r="J1149" s="30"/>
      <c r="K1149" s="37"/>
    </row>
    <row r="1150" spans="3:11" ht="15.5" thickTop="1" thickBot="1" x14ac:dyDescent="0.4">
      <c r="C1150" s="29"/>
      <c r="D1150" s="30"/>
      <c r="E1150" s="106" t="str">
        <f>IFERROR(VLOOKUP($D1150,NUMDIST[],2,FALSE),"DA Non trouvéé")</f>
        <v>DA Non trouvéé</v>
      </c>
      <c r="F1150" s="30"/>
      <c r="G1150" s="31"/>
      <c r="H1150" s="13">
        <v>0</v>
      </c>
      <c r="I1150" s="13">
        <v>0</v>
      </c>
      <c r="J1150" s="30"/>
      <c r="K1150" s="37"/>
    </row>
    <row r="1151" spans="3:11" ht="15.5" thickTop="1" thickBot="1" x14ac:dyDescent="0.4">
      <c r="C1151" s="29"/>
      <c r="D1151" s="30"/>
      <c r="E1151" s="106" t="str">
        <f>IFERROR(VLOOKUP($D1151,NUMDIST[],2,FALSE),"DA Non trouvéé")</f>
        <v>DA Non trouvéé</v>
      </c>
      <c r="F1151" s="30"/>
      <c r="G1151" s="31"/>
      <c r="H1151" s="13">
        <v>0</v>
      </c>
      <c r="I1151" s="13">
        <v>0</v>
      </c>
      <c r="J1151" s="30"/>
      <c r="K1151" s="37"/>
    </row>
    <row r="1152" spans="3:11" ht="15.5" thickTop="1" thickBot="1" x14ac:dyDescent="0.4">
      <c r="C1152" s="29"/>
      <c r="D1152" s="30"/>
      <c r="E1152" s="106" t="str">
        <f>IFERROR(VLOOKUP($D1152,NUMDIST[],2,FALSE),"DA Non trouvéé")</f>
        <v>DA Non trouvéé</v>
      </c>
      <c r="F1152" s="30"/>
      <c r="G1152" s="31"/>
      <c r="H1152" s="13">
        <v>0</v>
      </c>
      <c r="I1152" s="13">
        <v>0</v>
      </c>
      <c r="J1152" s="30"/>
      <c r="K1152" s="37"/>
    </row>
    <row r="1153" spans="3:11" ht="15.5" thickTop="1" thickBot="1" x14ac:dyDescent="0.4">
      <c r="C1153" s="29"/>
      <c r="D1153" s="30"/>
      <c r="E1153" s="106" t="str">
        <f>IFERROR(VLOOKUP($D1153,NUMDIST[],2,FALSE),"DA Non trouvéé")</f>
        <v>DA Non trouvéé</v>
      </c>
      <c r="F1153" s="30"/>
      <c r="G1153" s="31"/>
      <c r="H1153" s="13">
        <v>0</v>
      </c>
      <c r="I1153" s="13">
        <v>0</v>
      </c>
      <c r="J1153" s="30"/>
      <c r="K1153" s="37"/>
    </row>
    <row r="1154" spans="3:11" ht="15.5" thickTop="1" thickBot="1" x14ac:dyDescent="0.4">
      <c r="C1154" s="29"/>
      <c r="D1154" s="30"/>
      <c r="E1154" s="106" t="str">
        <f>IFERROR(VLOOKUP($D1154,NUMDIST[],2,FALSE),"DA Non trouvéé")</f>
        <v>DA Non trouvéé</v>
      </c>
      <c r="F1154" s="30"/>
      <c r="G1154" s="31"/>
      <c r="H1154" s="13">
        <v>0</v>
      </c>
      <c r="I1154" s="13">
        <v>0</v>
      </c>
      <c r="J1154" s="30"/>
      <c r="K1154" s="37"/>
    </row>
    <row r="1155" spans="3:11" ht="15.5" thickTop="1" thickBot="1" x14ac:dyDescent="0.4">
      <c r="C1155" s="29"/>
      <c r="D1155" s="30"/>
      <c r="E1155" s="106" t="str">
        <f>IFERROR(VLOOKUP($D1155,NUMDIST[],2,FALSE),"DA Non trouvéé")</f>
        <v>DA Non trouvéé</v>
      </c>
      <c r="F1155" s="30"/>
      <c r="G1155" s="31"/>
      <c r="H1155" s="13">
        <v>0</v>
      </c>
      <c r="I1155" s="13">
        <v>0</v>
      </c>
      <c r="J1155" s="30"/>
      <c r="K1155" s="37"/>
    </row>
    <row r="1156" spans="3:11" ht="15.5" thickTop="1" thickBot="1" x14ac:dyDescent="0.4">
      <c r="C1156" s="29"/>
      <c r="D1156" s="30"/>
      <c r="E1156" s="106" t="str">
        <f>IFERROR(VLOOKUP($D1156,NUMDIST[],2,FALSE),"DA Non trouvéé")</f>
        <v>DA Non trouvéé</v>
      </c>
      <c r="F1156" s="30"/>
      <c r="G1156" s="31"/>
      <c r="H1156" s="13">
        <v>0</v>
      </c>
      <c r="I1156" s="13">
        <v>0</v>
      </c>
      <c r="J1156" s="30"/>
      <c r="K1156" s="37"/>
    </row>
    <row r="1157" spans="3:11" ht="15.5" thickTop="1" thickBot="1" x14ac:dyDescent="0.4">
      <c r="C1157" s="29"/>
      <c r="D1157" s="30"/>
      <c r="E1157" s="106" t="str">
        <f>IFERROR(VLOOKUP($D1157,NUMDIST[],2,FALSE),"DA Non trouvéé")</f>
        <v>DA Non trouvéé</v>
      </c>
      <c r="F1157" s="30"/>
      <c r="G1157" s="31"/>
      <c r="H1157" s="13">
        <v>0</v>
      </c>
      <c r="I1157" s="13">
        <v>0</v>
      </c>
      <c r="J1157" s="30"/>
      <c r="K1157" s="37"/>
    </row>
    <row r="1158" spans="3:11" ht="15.5" thickTop="1" thickBot="1" x14ac:dyDescent="0.4">
      <c r="C1158" s="29"/>
      <c r="D1158" s="30"/>
      <c r="E1158" s="106" t="str">
        <f>IFERROR(VLOOKUP($D1158,NUMDIST[],2,FALSE),"DA Non trouvéé")</f>
        <v>DA Non trouvéé</v>
      </c>
      <c r="F1158" s="30"/>
      <c r="G1158" s="31"/>
      <c r="H1158" s="13">
        <v>0</v>
      </c>
      <c r="I1158" s="13">
        <v>0</v>
      </c>
      <c r="J1158" s="30"/>
      <c r="K1158" s="37"/>
    </row>
    <row r="1159" spans="3:11" ht="15.5" thickTop="1" thickBot="1" x14ac:dyDescent="0.4">
      <c r="C1159" s="29"/>
      <c r="D1159" s="30"/>
      <c r="E1159" s="106" t="str">
        <f>IFERROR(VLOOKUP($D1159,NUMDIST[],2,FALSE),"DA Non trouvéé")</f>
        <v>DA Non trouvéé</v>
      </c>
      <c r="F1159" s="30"/>
      <c r="G1159" s="31"/>
      <c r="H1159" s="13">
        <v>0</v>
      </c>
      <c r="I1159" s="13">
        <v>0</v>
      </c>
      <c r="J1159" s="30"/>
      <c r="K1159" s="37"/>
    </row>
    <row r="1160" spans="3:11" ht="15.5" thickTop="1" thickBot="1" x14ac:dyDescent="0.4">
      <c r="C1160" s="29"/>
      <c r="D1160" s="30"/>
      <c r="E1160" s="106" t="str">
        <f>IFERROR(VLOOKUP($D1160,NUMDIST[],2,FALSE),"DA Non trouvéé")</f>
        <v>DA Non trouvéé</v>
      </c>
      <c r="F1160" s="30"/>
      <c r="G1160" s="31"/>
      <c r="H1160" s="13">
        <v>0</v>
      </c>
      <c r="I1160" s="13">
        <v>0</v>
      </c>
      <c r="J1160" s="30"/>
      <c r="K1160" s="37"/>
    </row>
    <row r="1161" spans="3:11" ht="15.5" thickTop="1" thickBot="1" x14ac:dyDescent="0.4">
      <c r="C1161" s="29"/>
      <c r="D1161" s="30"/>
      <c r="E1161" s="106" t="str">
        <f>IFERROR(VLOOKUP($D1161,NUMDIST[],2,FALSE),"DA Non trouvéé")</f>
        <v>DA Non trouvéé</v>
      </c>
      <c r="F1161" s="30"/>
      <c r="G1161" s="31"/>
      <c r="H1161" s="13">
        <v>0</v>
      </c>
      <c r="I1161" s="13">
        <v>0</v>
      </c>
      <c r="J1161" s="30"/>
      <c r="K1161" s="37"/>
    </row>
    <row r="1162" spans="3:11" ht="15.5" thickTop="1" thickBot="1" x14ac:dyDescent="0.4">
      <c r="C1162" s="29"/>
      <c r="D1162" s="30"/>
      <c r="E1162" s="106" t="str">
        <f>IFERROR(VLOOKUP($D1162,NUMDIST[],2,FALSE),"DA Non trouvéé")</f>
        <v>DA Non trouvéé</v>
      </c>
      <c r="F1162" s="30"/>
      <c r="G1162" s="31"/>
      <c r="H1162" s="13">
        <v>0</v>
      </c>
      <c r="I1162" s="13">
        <v>0</v>
      </c>
      <c r="J1162" s="30"/>
      <c r="K1162" s="37"/>
    </row>
    <row r="1163" spans="3:11" ht="15.5" thickTop="1" thickBot="1" x14ac:dyDescent="0.4">
      <c r="C1163" s="29"/>
      <c r="D1163" s="30"/>
      <c r="E1163" s="106" t="str">
        <f>IFERROR(VLOOKUP($D1163,NUMDIST[],2,FALSE),"DA Non trouvéé")</f>
        <v>DA Non trouvéé</v>
      </c>
      <c r="F1163" s="30"/>
      <c r="G1163" s="31"/>
      <c r="H1163" s="13">
        <v>0</v>
      </c>
      <c r="I1163" s="13">
        <v>0</v>
      </c>
      <c r="J1163" s="30"/>
      <c r="K1163" s="37"/>
    </row>
    <row r="1164" spans="3:11" ht="15.5" thickTop="1" thickBot="1" x14ac:dyDescent="0.4">
      <c r="C1164" s="29"/>
      <c r="D1164" s="30"/>
      <c r="E1164" s="106" t="str">
        <f>IFERROR(VLOOKUP($D1164,NUMDIST[],2,FALSE),"DA Non trouvéé")</f>
        <v>DA Non trouvéé</v>
      </c>
      <c r="F1164" s="30"/>
      <c r="G1164" s="31"/>
      <c r="H1164" s="13">
        <v>0</v>
      </c>
      <c r="I1164" s="13">
        <v>0</v>
      </c>
      <c r="J1164" s="30"/>
      <c r="K1164" s="37"/>
    </row>
    <row r="1165" spans="3:11" ht="15.5" thickTop="1" thickBot="1" x14ac:dyDescent="0.4">
      <c r="C1165" s="29"/>
      <c r="D1165" s="30"/>
      <c r="E1165" s="106" t="str">
        <f>IFERROR(VLOOKUP($D1165,NUMDIST[],2,FALSE),"DA Non trouvéé")</f>
        <v>DA Non trouvéé</v>
      </c>
      <c r="F1165" s="30"/>
      <c r="G1165" s="31"/>
      <c r="H1165" s="13">
        <v>0</v>
      </c>
      <c r="I1165" s="13">
        <v>0</v>
      </c>
      <c r="J1165" s="30"/>
      <c r="K1165" s="37"/>
    </row>
    <row r="1166" spans="3:11" ht="15.5" thickTop="1" thickBot="1" x14ac:dyDescent="0.4">
      <c r="C1166" s="29"/>
      <c r="D1166" s="30"/>
      <c r="E1166" s="106" t="str">
        <f>IFERROR(VLOOKUP($D1166,NUMDIST[],2,FALSE),"DA Non trouvéé")</f>
        <v>DA Non trouvéé</v>
      </c>
      <c r="F1166" s="30"/>
      <c r="G1166" s="31"/>
      <c r="H1166" s="13">
        <v>0</v>
      </c>
      <c r="I1166" s="13">
        <v>0</v>
      </c>
      <c r="J1166" s="30"/>
      <c r="K1166" s="37"/>
    </row>
    <row r="1167" spans="3:11" ht="15.5" thickTop="1" thickBot="1" x14ac:dyDescent="0.4">
      <c r="C1167" s="29"/>
      <c r="D1167" s="30"/>
      <c r="E1167" s="106" t="str">
        <f>IFERROR(VLOOKUP($D1167,NUMDIST[],2,FALSE),"DA Non trouvéé")</f>
        <v>DA Non trouvéé</v>
      </c>
      <c r="F1167" s="30"/>
      <c r="G1167" s="31"/>
      <c r="H1167" s="13">
        <v>0</v>
      </c>
      <c r="I1167" s="13">
        <v>0</v>
      </c>
      <c r="J1167" s="30"/>
      <c r="K1167" s="37"/>
    </row>
    <row r="1168" spans="3:11" ht="15.5" thickTop="1" thickBot="1" x14ac:dyDescent="0.4">
      <c r="C1168" s="29"/>
      <c r="D1168" s="30"/>
      <c r="E1168" s="106" t="str">
        <f>IFERROR(VLOOKUP($D1168,NUMDIST[],2,FALSE),"DA Non trouvéé")</f>
        <v>DA Non trouvéé</v>
      </c>
      <c r="F1168" s="30"/>
      <c r="G1168" s="31"/>
      <c r="H1168" s="13">
        <v>0</v>
      </c>
      <c r="I1168" s="13">
        <v>0</v>
      </c>
      <c r="J1168" s="30"/>
      <c r="K1168" s="37"/>
    </row>
    <row r="1169" spans="3:11" ht="15.5" thickTop="1" thickBot="1" x14ac:dyDescent="0.4">
      <c r="C1169" s="29"/>
      <c r="D1169" s="30"/>
      <c r="E1169" s="106" t="str">
        <f>IFERROR(VLOOKUP($D1169,NUMDIST[],2,FALSE),"DA Non trouvéé")</f>
        <v>DA Non trouvéé</v>
      </c>
      <c r="F1169" s="30"/>
      <c r="G1169" s="31"/>
      <c r="H1169" s="13">
        <v>0</v>
      </c>
      <c r="I1169" s="13">
        <v>0</v>
      </c>
      <c r="J1169" s="30"/>
      <c r="K1169" s="37"/>
    </row>
    <row r="1170" spans="3:11" ht="15.5" thickTop="1" thickBot="1" x14ac:dyDescent="0.4">
      <c r="C1170" s="29"/>
      <c r="D1170" s="30"/>
      <c r="E1170" s="106" t="str">
        <f>IFERROR(VLOOKUP($D1170,NUMDIST[],2,FALSE),"DA Non trouvéé")</f>
        <v>DA Non trouvéé</v>
      </c>
      <c r="F1170" s="30"/>
      <c r="G1170" s="31"/>
      <c r="H1170" s="13">
        <v>0</v>
      </c>
      <c r="I1170" s="13">
        <v>0</v>
      </c>
      <c r="J1170" s="30"/>
      <c r="K1170" s="37"/>
    </row>
    <row r="1171" spans="3:11" ht="15.5" thickTop="1" thickBot="1" x14ac:dyDescent="0.4">
      <c r="C1171" s="29"/>
      <c r="D1171" s="30"/>
      <c r="E1171" s="106" t="str">
        <f>IFERROR(VLOOKUP($D1171,NUMDIST[],2,FALSE),"DA Non trouvéé")</f>
        <v>DA Non trouvéé</v>
      </c>
      <c r="F1171" s="30"/>
      <c r="G1171" s="31"/>
      <c r="H1171" s="13">
        <v>0</v>
      </c>
      <c r="I1171" s="13">
        <v>0</v>
      </c>
      <c r="J1171" s="30"/>
      <c r="K1171" s="37"/>
    </row>
    <row r="1172" spans="3:11" ht="15.5" thickTop="1" thickBot="1" x14ac:dyDescent="0.4">
      <c r="C1172" s="29"/>
      <c r="D1172" s="30"/>
      <c r="E1172" s="106" t="str">
        <f>IFERROR(VLOOKUP($D1172,NUMDIST[],2,FALSE),"DA Non trouvéé")</f>
        <v>DA Non trouvéé</v>
      </c>
      <c r="F1172" s="30"/>
      <c r="G1172" s="31"/>
      <c r="H1172" s="13">
        <v>0</v>
      </c>
      <c r="I1172" s="13">
        <v>0</v>
      </c>
      <c r="J1172" s="30"/>
      <c r="K1172" s="37"/>
    </row>
    <row r="1173" spans="3:11" ht="15.5" thickTop="1" thickBot="1" x14ac:dyDescent="0.4">
      <c r="C1173" s="29"/>
      <c r="D1173" s="30"/>
      <c r="E1173" s="106" t="str">
        <f>IFERROR(VLOOKUP($D1173,NUMDIST[],2,FALSE),"DA Non trouvéé")</f>
        <v>DA Non trouvéé</v>
      </c>
      <c r="F1173" s="30"/>
      <c r="G1173" s="31"/>
      <c r="H1173" s="13">
        <v>0</v>
      </c>
      <c r="I1173" s="13">
        <v>0</v>
      </c>
      <c r="J1173" s="30"/>
      <c r="K1173" s="37"/>
    </row>
    <row r="1174" spans="3:11" ht="15.5" thickTop="1" thickBot="1" x14ac:dyDescent="0.4">
      <c r="C1174" s="29"/>
      <c r="D1174" s="30"/>
      <c r="E1174" s="106" t="str">
        <f>IFERROR(VLOOKUP($D1174,NUMDIST[],2,FALSE),"DA Non trouvéé")</f>
        <v>DA Non trouvéé</v>
      </c>
      <c r="F1174" s="30"/>
      <c r="G1174" s="31"/>
      <c r="H1174" s="13">
        <v>0</v>
      </c>
      <c r="I1174" s="13">
        <v>0</v>
      </c>
      <c r="J1174" s="30"/>
      <c r="K1174" s="37"/>
    </row>
    <row r="1175" spans="3:11" ht="15.5" thickTop="1" thickBot="1" x14ac:dyDescent="0.4">
      <c r="C1175" s="29"/>
      <c r="D1175" s="30"/>
      <c r="E1175" s="106" t="str">
        <f>IFERROR(VLOOKUP($D1175,NUMDIST[],2,FALSE),"DA Non trouvéé")</f>
        <v>DA Non trouvéé</v>
      </c>
      <c r="F1175" s="30"/>
      <c r="G1175" s="31"/>
      <c r="H1175" s="13">
        <v>0</v>
      </c>
      <c r="I1175" s="13">
        <v>0</v>
      </c>
      <c r="J1175" s="30"/>
      <c r="K1175" s="37"/>
    </row>
    <row r="1176" spans="3:11" ht="15.5" thickTop="1" thickBot="1" x14ac:dyDescent="0.4">
      <c r="C1176" s="29"/>
      <c r="D1176" s="30"/>
      <c r="E1176" s="106" t="str">
        <f>IFERROR(VLOOKUP($D1176,NUMDIST[],2,FALSE),"DA Non trouvéé")</f>
        <v>DA Non trouvéé</v>
      </c>
      <c r="F1176" s="30"/>
      <c r="G1176" s="31"/>
      <c r="H1176" s="13">
        <v>0</v>
      </c>
      <c r="I1176" s="13">
        <v>0</v>
      </c>
      <c r="J1176" s="30"/>
      <c r="K1176" s="37"/>
    </row>
    <row r="1177" spans="3:11" ht="15.5" thickTop="1" thickBot="1" x14ac:dyDescent="0.4">
      <c r="C1177" s="29"/>
      <c r="D1177" s="30"/>
      <c r="E1177" s="106" t="str">
        <f>IFERROR(VLOOKUP($D1177,NUMDIST[],2,FALSE),"DA Non trouvéé")</f>
        <v>DA Non trouvéé</v>
      </c>
      <c r="F1177" s="30"/>
      <c r="G1177" s="31"/>
      <c r="H1177" s="13">
        <v>0</v>
      </c>
      <c r="I1177" s="13">
        <v>0</v>
      </c>
      <c r="J1177" s="30"/>
      <c r="K1177" s="37"/>
    </row>
    <row r="1178" spans="3:11" ht="15.5" thickTop="1" thickBot="1" x14ac:dyDescent="0.4">
      <c r="C1178" s="29"/>
      <c r="D1178" s="30"/>
      <c r="E1178" s="106" t="str">
        <f>IFERROR(VLOOKUP($D1178,NUMDIST[],2,FALSE),"DA Non trouvéé")</f>
        <v>DA Non trouvéé</v>
      </c>
      <c r="F1178" s="30"/>
      <c r="G1178" s="31"/>
      <c r="H1178" s="13">
        <v>0</v>
      </c>
      <c r="I1178" s="13">
        <v>0</v>
      </c>
      <c r="J1178" s="30"/>
      <c r="K1178" s="37"/>
    </row>
    <row r="1179" spans="3:11" ht="15.5" thickTop="1" thickBot="1" x14ac:dyDescent="0.4">
      <c r="C1179" s="29"/>
      <c r="D1179" s="30"/>
      <c r="E1179" s="106" t="str">
        <f>IFERROR(VLOOKUP($D1179,NUMDIST[],2,FALSE),"DA Non trouvéé")</f>
        <v>DA Non trouvéé</v>
      </c>
      <c r="F1179" s="30"/>
      <c r="G1179" s="31"/>
      <c r="H1179" s="13">
        <v>0</v>
      </c>
      <c r="I1179" s="13">
        <v>0</v>
      </c>
      <c r="J1179" s="30"/>
      <c r="K1179" s="37"/>
    </row>
    <row r="1180" spans="3:11" ht="15.5" thickTop="1" thickBot="1" x14ac:dyDescent="0.4">
      <c r="C1180" s="29"/>
      <c r="D1180" s="30"/>
      <c r="E1180" s="106" t="str">
        <f>IFERROR(VLOOKUP($D1180,NUMDIST[],2,FALSE),"DA Non trouvéé")</f>
        <v>DA Non trouvéé</v>
      </c>
      <c r="F1180" s="30"/>
      <c r="G1180" s="31"/>
      <c r="H1180" s="13">
        <v>0</v>
      </c>
      <c r="I1180" s="13">
        <v>0</v>
      </c>
      <c r="J1180" s="30"/>
      <c r="K1180" s="37"/>
    </row>
    <row r="1181" spans="3:11" ht="15.5" thickTop="1" thickBot="1" x14ac:dyDescent="0.4">
      <c r="C1181" s="29"/>
      <c r="D1181" s="30"/>
      <c r="E1181" s="106" t="str">
        <f>IFERROR(VLOOKUP($D1181,NUMDIST[],2,FALSE),"DA Non trouvéé")</f>
        <v>DA Non trouvéé</v>
      </c>
      <c r="F1181" s="30"/>
      <c r="G1181" s="31"/>
      <c r="H1181" s="13">
        <v>0</v>
      </c>
      <c r="I1181" s="13">
        <v>0</v>
      </c>
      <c r="J1181" s="30"/>
      <c r="K1181" s="37"/>
    </row>
    <row r="1182" spans="3:11" ht="15.5" thickTop="1" thickBot="1" x14ac:dyDescent="0.4">
      <c r="C1182" s="29"/>
      <c r="D1182" s="30"/>
      <c r="E1182" s="106" t="str">
        <f>IFERROR(VLOOKUP($D1182,NUMDIST[],2,FALSE),"DA Non trouvéé")</f>
        <v>DA Non trouvéé</v>
      </c>
      <c r="F1182" s="30"/>
      <c r="G1182" s="31"/>
      <c r="H1182" s="13">
        <v>0</v>
      </c>
      <c r="I1182" s="13">
        <v>0</v>
      </c>
      <c r="J1182" s="30"/>
      <c r="K1182" s="37"/>
    </row>
    <row r="1183" spans="3:11" ht="15.5" thickTop="1" thickBot="1" x14ac:dyDescent="0.4">
      <c r="C1183" s="29"/>
      <c r="D1183" s="30"/>
      <c r="E1183" s="106" t="str">
        <f>IFERROR(VLOOKUP($D1183,NUMDIST[],2,FALSE),"DA Non trouvéé")</f>
        <v>DA Non trouvéé</v>
      </c>
      <c r="F1183" s="30"/>
      <c r="G1183" s="31"/>
      <c r="H1183" s="13">
        <v>0</v>
      </c>
      <c r="I1183" s="13">
        <v>0</v>
      </c>
      <c r="J1183" s="30"/>
      <c r="K1183" s="37"/>
    </row>
    <row r="1184" spans="3:11" ht="15.5" thickTop="1" thickBot="1" x14ac:dyDescent="0.4">
      <c r="C1184" s="29"/>
      <c r="D1184" s="30"/>
      <c r="E1184" s="106" t="str">
        <f>IFERROR(VLOOKUP($D1184,NUMDIST[],2,FALSE),"DA Non trouvéé")</f>
        <v>DA Non trouvéé</v>
      </c>
      <c r="F1184" s="30"/>
      <c r="G1184" s="31"/>
      <c r="H1184" s="13">
        <v>0</v>
      </c>
      <c r="I1184" s="13">
        <v>0</v>
      </c>
      <c r="J1184" s="30"/>
      <c r="K1184" s="37"/>
    </row>
    <row r="1185" spans="3:11" ht="15.5" thickTop="1" thickBot="1" x14ac:dyDescent="0.4">
      <c r="C1185" s="29"/>
      <c r="D1185" s="30"/>
      <c r="E1185" s="106" t="str">
        <f>IFERROR(VLOOKUP($D1185,NUMDIST[],2,FALSE),"DA Non trouvéé")</f>
        <v>DA Non trouvéé</v>
      </c>
      <c r="F1185" s="30"/>
      <c r="G1185" s="31"/>
      <c r="H1185" s="13">
        <v>0</v>
      </c>
      <c r="I1185" s="13">
        <v>0</v>
      </c>
      <c r="J1185" s="30"/>
      <c r="K1185" s="37"/>
    </row>
    <row r="1186" spans="3:11" ht="15.5" thickTop="1" thickBot="1" x14ac:dyDescent="0.4">
      <c r="C1186" s="29"/>
      <c r="D1186" s="30"/>
      <c r="E1186" s="106" t="str">
        <f>IFERROR(VLOOKUP($D1186,NUMDIST[],2,FALSE),"DA Non trouvéé")</f>
        <v>DA Non trouvéé</v>
      </c>
      <c r="F1186" s="30"/>
      <c r="G1186" s="31"/>
      <c r="H1186" s="13">
        <v>0</v>
      </c>
      <c r="I1186" s="13">
        <v>0</v>
      </c>
      <c r="J1186" s="30"/>
      <c r="K1186" s="37"/>
    </row>
    <row r="1187" spans="3:11" ht="15.5" thickTop="1" thickBot="1" x14ac:dyDescent="0.4">
      <c r="C1187" s="29"/>
      <c r="D1187" s="30"/>
      <c r="E1187" s="106" t="str">
        <f>IFERROR(VLOOKUP($D1187,NUMDIST[],2,FALSE),"DA Non trouvéé")</f>
        <v>DA Non trouvéé</v>
      </c>
      <c r="F1187" s="30"/>
      <c r="G1187" s="31"/>
      <c r="H1187" s="13">
        <v>0</v>
      </c>
      <c r="I1187" s="13">
        <v>0</v>
      </c>
      <c r="J1187" s="30"/>
      <c r="K1187" s="37"/>
    </row>
    <row r="1188" spans="3:11" ht="15.5" thickTop="1" thickBot="1" x14ac:dyDescent="0.4">
      <c r="C1188" s="29"/>
      <c r="D1188" s="30"/>
      <c r="E1188" s="106" t="str">
        <f>IFERROR(VLOOKUP($D1188,NUMDIST[],2,FALSE),"DA Non trouvéé")</f>
        <v>DA Non trouvéé</v>
      </c>
      <c r="F1188" s="30"/>
      <c r="G1188" s="31"/>
      <c r="H1188" s="13">
        <v>0</v>
      </c>
      <c r="I1188" s="13">
        <v>0</v>
      </c>
      <c r="J1188" s="30"/>
      <c r="K1188" s="37"/>
    </row>
    <row r="1189" spans="3:11" ht="15.5" thickTop="1" thickBot="1" x14ac:dyDescent="0.4">
      <c r="C1189" s="29"/>
      <c r="D1189" s="30"/>
      <c r="E1189" s="106" t="str">
        <f>IFERROR(VLOOKUP($D1189,NUMDIST[],2,FALSE),"DA Non trouvéé")</f>
        <v>DA Non trouvéé</v>
      </c>
      <c r="F1189" s="30"/>
      <c r="G1189" s="31"/>
      <c r="H1189" s="13">
        <v>0</v>
      </c>
      <c r="I1189" s="13">
        <v>0</v>
      </c>
      <c r="J1189" s="30"/>
      <c r="K1189" s="37"/>
    </row>
    <row r="1190" spans="3:11" ht="15.5" thickTop="1" thickBot="1" x14ac:dyDescent="0.4">
      <c r="C1190" s="29"/>
      <c r="D1190" s="30"/>
      <c r="E1190" s="106" t="str">
        <f>IFERROR(VLOOKUP($D1190,NUMDIST[],2,FALSE),"DA Non trouvéé")</f>
        <v>DA Non trouvéé</v>
      </c>
      <c r="F1190" s="30"/>
      <c r="G1190" s="31"/>
      <c r="H1190" s="13">
        <v>0</v>
      </c>
      <c r="I1190" s="13">
        <v>0</v>
      </c>
      <c r="J1190" s="30"/>
      <c r="K1190" s="37"/>
    </row>
    <row r="1191" spans="3:11" ht="15.5" thickTop="1" thickBot="1" x14ac:dyDescent="0.4">
      <c r="C1191" s="29"/>
      <c r="D1191" s="30"/>
      <c r="E1191" s="106" t="str">
        <f>IFERROR(VLOOKUP($D1191,NUMDIST[],2,FALSE),"DA Non trouvéé")</f>
        <v>DA Non trouvéé</v>
      </c>
      <c r="F1191" s="30"/>
      <c r="G1191" s="31"/>
      <c r="H1191" s="13">
        <v>0</v>
      </c>
      <c r="I1191" s="13">
        <v>0</v>
      </c>
      <c r="J1191" s="30"/>
      <c r="K1191" s="37"/>
    </row>
    <row r="1192" spans="3:11" ht="15.5" thickTop="1" thickBot="1" x14ac:dyDescent="0.4">
      <c r="C1192" s="29"/>
      <c r="D1192" s="30"/>
      <c r="E1192" s="106" t="str">
        <f>IFERROR(VLOOKUP($D1192,NUMDIST[],2,FALSE),"DA Non trouvéé")</f>
        <v>DA Non trouvéé</v>
      </c>
      <c r="F1192" s="30"/>
      <c r="G1192" s="31"/>
      <c r="H1192" s="13">
        <v>0</v>
      </c>
      <c r="I1192" s="13">
        <v>0</v>
      </c>
      <c r="J1192" s="30"/>
      <c r="K1192" s="37"/>
    </row>
    <row r="1193" spans="3:11" ht="15.5" thickTop="1" thickBot="1" x14ac:dyDescent="0.4">
      <c r="C1193" s="29"/>
      <c r="D1193" s="30"/>
      <c r="E1193" s="106" t="str">
        <f>IFERROR(VLOOKUP($D1193,NUMDIST[],2,FALSE),"DA Non trouvéé")</f>
        <v>DA Non trouvéé</v>
      </c>
      <c r="F1193" s="30"/>
      <c r="G1193" s="31"/>
      <c r="H1193" s="13">
        <v>0</v>
      </c>
      <c r="I1193" s="13">
        <v>0</v>
      </c>
      <c r="J1193" s="30"/>
      <c r="K1193" s="37"/>
    </row>
    <row r="1194" spans="3:11" ht="15.5" thickTop="1" thickBot="1" x14ac:dyDescent="0.4">
      <c r="C1194" s="29"/>
      <c r="D1194" s="30"/>
      <c r="E1194" s="106" t="str">
        <f>IFERROR(VLOOKUP($D1194,NUMDIST[],2,FALSE),"DA Non trouvéé")</f>
        <v>DA Non trouvéé</v>
      </c>
      <c r="F1194" s="30"/>
      <c r="G1194" s="31"/>
      <c r="H1194" s="13">
        <v>0</v>
      </c>
      <c r="I1194" s="13">
        <v>0</v>
      </c>
      <c r="J1194" s="30"/>
      <c r="K1194" s="37"/>
    </row>
    <row r="1195" spans="3:11" ht="15.5" thickTop="1" thickBot="1" x14ac:dyDescent="0.4">
      <c r="C1195" s="29"/>
      <c r="D1195" s="30"/>
      <c r="E1195" s="106" t="str">
        <f>IFERROR(VLOOKUP($D1195,NUMDIST[],2,FALSE),"DA Non trouvéé")</f>
        <v>DA Non trouvéé</v>
      </c>
      <c r="F1195" s="30"/>
      <c r="G1195" s="31"/>
      <c r="H1195" s="13">
        <v>0</v>
      </c>
      <c r="I1195" s="13">
        <v>0</v>
      </c>
      <c r="J1195" s="30"/>
      <c r="K1195" s="37"/>
    </row>
    <row r="1196" spans="3:11" ht="15.5" thickTop="1" thickBot="1" x14ac:dyDescent="0.4">
      <c r="C1196" s="29"/>
      <c r="D1196" s="30"/>
      <c r="E1196" s="106" t="str">
        <f>IFERROR(VLOOKUP($D1196,NUMDIST[],2,FALSE),"DA Non trouvéé")</f>
        <v>DA Non trouvéé</v>
      </c>
      <c r="F1196" s="30"/>
      <c r="G1196" s="31"/>
      <c r="H1196" s="13">
        <v>0</v>
      </c>
      <c r="I1196" s="13">
        <v>0</v>
      </c>
      <c r="J1196" s="30"/>
      <c r="K1196" s="37"/>
    </row>
    <row r="1197" spans="3:11" ht="15.5" thickTop="1" thickBot="1" x14ac:dyDescent="0.4">
      <c r="C1197" s="29"/>
      <c r="D1197" s="30"/>
      <c r="E1197" s="106" t="str">
        <f>IFERROR(VLOOKUP($D1197,NUMDIST[],2,FALSE),"DA Non trouvéé")</f>
        <v>DA Non trouvéé</v>
      </c>
      <c r="F1197" s="30"/>
      <c r="G1197" s="31"/>
      <c r="H1197" s="13">
        <v>0</v>
      </c>
      <c r="I1197" s="13">
        <v>0</v>
      </c>
      <c r="J1197" s="30"/>
      <c r="K1197" s="37"/>
    </row>
    <row r="1198" spans="3:11" ht="15.5" thickTop="1" thickBot="1" x14ac:dyDescent="0.4">
      <c r="C1198" s="29"/>
      <c r="D1198" s="30"/>
      <c r="E1198" s="106" t="str">
        <f>IFERROR(VLOOKUP($D1198,NUMDIST[],2,FALSE),"DA Non trouvéé")</f>
        <v>DA Non trouvéé</v>
      </c>
      <c r="F1198" s="30"/>
      <c r="G1198" s="31"/>
      <c r="H1198" s="13">
        <v>0</v>
      </c>
      <c r="I1198" s="13">
        <v>0</v>
      </c>
      <c r="J1198" s="30"/>
      <c r="K1198" s="37"/>
    </row>
    <row r="1199" spans="3:11" ht="15.5" thickTop="1" thickBot="1" x14ac:dyDescent="0.4">
      <c r="C1199" s="29"/>
      <c r="D1199" s="30"/>
      <c r="E1199" s="106" t="str">
        <f>IFERROR(VLOOKUP($D1199,NUMDIST[],2,FALSE),"DA Non trouvéé")</f>
        <v>DA Non trouvéé</v>
      </c>
      <c r="F1199" s="30"/>
      <c r="G1199" s="31"/>
      <c r="H1199" s="13">
        <v>0</v>
      </c>
      <c r="I1199" s="13">
        <v>0</v>
      </c>
      <c r="J1199" s="30"/>
      <c r="K1199" s="37"/>
    </row>
    <row r="1200" spans="3:11" ht="15.5" thickTop="1" thickBot="1" x14ac:dyDescent="0.4">
      <c r="C1200" s="29"/>
      <c r="D1200" s="30"/>
      <c r="E1200" s="106" t="str">
        <f>IFERROR(VLOOKUP($D1200,NUMDIST[],2,FALSE),"DA Non trouvéé")</f>
        <v>DA Non trouvéé</v>
      </c>
      <c r="F1200" s="30"/>
      <c r="G1200" s="31"/>
      <c r="H1200" s="13">
        <v>0</v>
      </c>
      <c r="I1200" s="13">
        <v>0</v>
      </c>
      <c r="J1200" s="30"/>
      <c r="K1200" s="37"/>
    </row>
    <row r="1201" spans="3:11" ht="15.5" thickTop="1" thickBot="1" x14ac:dyDescent="0.4">
      <c r="C1201" s="29"/>
      <c r="D1201" s="30"/>
      <c r="E1201" s="106" t="str">
        <f>IFERROR(VLOOKUP($D1201,NUMDIST[],2,FALSE),"DA Non trouvéé")</f>
        <v>DA Non trouvéé</v>
      </c>
      <c r="F1201" s="30"/>
      <c r="G1201" s="31"/>
      <c r="H1201" s="13">
        <v>0</v>
      </c>
      <c r="I1201" s="13">
        <v>0</v>
      </c>
      <c r="J1201" s="30"/>
      <c r="K1201" s="37"/>
    </row>
    <row r="1202" spans="3:11" ht="15.5" thickTop="1" thickBot="1" x14ac:dyDescent="0.4">
      <c r="C1202" s="29"/>
      <c r="D1202" s="30"/>
      <c r="E1202" s="106" t="str">
        <f>IFERROR(VLOOKUP($D1202,NUMDIST[],2,FALSE),"DA Non trouvéé")</f>
        <v>DA Non trouvéé</v>
      </c>
      <c r="F1202" s="30"/>
      <c r="G1202" s="31"/>
      <c r="H1202" s="13">
        <v>0</v>
      </c>
      <c r="I1202" s="13">
        <v>0</v>
      </c>
      <c r="J1202" s="30"/>
      <c r="K1202" s="37"/>
    </row>
    <row r="1203" spans="3:11" ht="15.5" thickTop="1" thickBot="1" x14ac:dyDescent="0.4">
      <c r="C1203" s="29"/>
      <c r="D1203" s="30"/>
      <c r="E1203" s="106" t="str">
        <f>IFERROR(VLOOKUP($D1203,NUMDIST[],2,FALSE),"DA Non trouvéé")</f>
        <v>DA Non trouvéé</v>
      </c>
      <c r="F1203" s="30"/>
      <c r="G1203" s="31"/>
      <c r="H1203" s="13">
        <v>0</v>
      </c>
      <c r="I1203" s="13">
        <v>0</v>
      </c>
      <c r="J1203" s="30"/>
      <c r="K1203" s="37"/>
    </row>
    <row r="1204" spans="3:11" ht="15.5" thickTop="1" thickBot="1" x14ac:dyDescent="0.4">
      <c r="C1204" s="29"/>
      <c r="D1204" s="30"/>
      <c r="E1204" s="106" t="str">
        <f>IFERROR(VLOOKUP($D1204,NUMDIST[],2,FALSE),"DA Non trouvéé")</f>
        <v>DA Non trouvéé</v>
      </c>
      <c r="F1204" s="30"/>
      <c r="G1204" s="31"/>
      <c r="H1204" s="13">
        <v>0</v>
      </c>
      <c r="I1204" s="13">
        <v>0</v>
      </c>
      <c r="J1204" s="30"/>
      <c r="K1204" s="37"/>
    </row>
    <row r="1205" spans="3:11" ht="15.5" thickTop="1" thickBot="1" x14ac:dyDescent="0.4">
      <c r="C1205" s="29"/>
      <c r="D1205" s="30"/>
      <c r="E1205" s="106" t="str">
        <f>IFERROR(VLOOKUP($D1205,NUMDIST[],2,FALSE),"DA Non trouvéé")</f>
        <v>DA Non trouvéé</v>
      </c>
      <c r="F1205" s="30"/>
      <c r="G1205" s="31"/>
      <c r="H1205" s="13">
        <v>0</v>
      </c>
      <c r="I1205" s="13">
        <v>0</v>
      </c>
      <c r="J1205" s="30"/>
      <c r="K1205" s="37"/>
    </row>
    <row r="1206" spans="3:11" ht="15.5" thickTop="1" thickBot="1" x14ac:dyDescent="0.4">
      <c r="C1206" s="29"/>
      <c r="D1206" s="30"/>
      <c r="E1206" s="106" t="str">
        <f>IFERROR(VLOOKUP($D1206,NUMDIST[],2,FALSE),"DA Non trouvéé")</f>
        <v>DA Non trouvéé</v>
      </c>
      <c r="F1206" s="30"/>
      <c r="G1206" s="31"/>
      <c r="H1206" s="13">
        <v>0</v>
      </c>
      <c r="I1206" s="13">
        <v>0</v>
      </c>
      <c r="J1206" s="30"/>
      <c r="K1206" s="37"/>
    </row>
    <row r="1207" spans="3:11" ht="15.5" thickTop="1" thickBot="1" x14ac:dyDescent="0.4">
      <c r="C1207" s="29"/>
      <c r="D1207" s="30"/>
      <c r="E1207" s="106" t="str">
        <f>IFERROR(VLOOKUP($D1207,NUMDIST[],2,FALSE),"DA Non trouvéé")</f>
        <v>DA Non trouvéé</v>
      </c>
      <c r="F1207" s="30"/>
      <c r="G1207" s="31"/>
      <c r="H1207" s="13">
        <v>0</v>
      </c>
      <c r="I1207" s="13">
        <v>0</v>
      </c>
      <c r="J1207" s="30"/>
      <c r="K1207" s="37"/>
    </row>
    <row r="1208" spans="3:11" ht="15.5" thickTop="1" thickBot="1" x14ac:dyDescent="0.4">
      <c r="C1208" s="29"/>
      <c r="D1208" s="30"/>
      <c r="E1208" s="106" t="str">
        <f>IFERROR(VLOOKUP($D1208,NUMDIST[],2,FALSE),"DA Non trouvéé")</f>
        <v>DA Non trouvéé</v>
      </c>
      <c r="F1208" s="30"/>
      <c r="G1208" s="31"/>
      <c r="H1208" s="13">
        <v>0</v>
      </c>
      <c r="I1208" s="13">
        <v>0</v>
      </c>
      <c r="J1208" s="30"/>
      <c r="K1208" s="37"/>
    </row>
    <row r="1209" spans="3:11" ht="15.5" thickTop="1" thickBot="1" x14ac:dyDescent="0.4">
      <c r="C1209" s="29"/>
      <c r="D1209" s="30"/>
      <c r="E1209" s="106" t="str">
        <f>IFERROR(VLOOKUP($D1209,NUMDIST[],2,FALSE),"DA Non trouvéé")</f>
        <v>DA Non trouvéé</v>
      </c>
      <c r="F1209" s="30"/>
      <c r="G1209" s="31"/>
      <c r="H1209" s="13">
        <v>0</v>
      </c>
      <c r="I1209" s="13">
        <v>0</v>
      </c>
      <c r="J1209" s="30"/>
      <c r="K1209" s="37"/>
    </row>
    <row r="1210" spans="3:11" ht="15.5" thickTop="1" thickBot="1" x14ac:dyDescent="0.4">
      <c r="C1210" s="29"/>
      <c r="D1210" s="30"/>
      <c r="E1210" s="106" t="str">
        <f>IFERROR(VLOOKUP($D1210,NUMDIST[],2,FALSE),"DA Non trouvéé")</f>
        <v>DA Non trouvéé</v>
      </c>
      <c r="F1210" s="30"/>
      <c r="G1210" s="31"/>
      <c r="H1210" s="13">
        <v>0</v>
      </c>
      <c r="I1210" s="13">
        <v>0</v>
      </c>
      <c r="J1210" s="30"/>
      <c r="K1210" s="37"/>
    </row>
    <row r="1211" spans="3:11" ht="15.5" thickTop="1" thickBot="1" x14ac:dyDescent="0.4">
      <c r="C1211" s="29"/>
      <c r="D1211" s="30"/>
      <c r="E1211" s="106" t="str">
        <f>IFERROR(VLOOKUP($D1211,NUMDIST[],2,FALSE),"DA Non trouvéé")</f>
        <v>DA Non trouvéé</v>
      </c>
      <c r="F1211" s="30"/>
      <c r="G1211" s="31"/>
      <c r="H1211" s="13">
        <v>0</v>
      </c>
      <c r="I1211" s="13">
        <v>0</v>
      </c>
      <c r="J1211" s="30"/>
      <c r="K1211" s="37"/>
    </row>
    <row r="1212" spans="3:11" ht="15.5" thickTop="1" thickBot="1" x14ac:dyDescent="0.4">
      <c r="C1212" s="29"/>
      <c r="D1212" s="30"/>
      <c r="E1212" s="106" t="str">
        <f>IFERROR(VLOOKUP($D1212,NUMDIST[],2,FALSE),"DA Non trouvéé")</f>
        <v>DA Non trouvéé</v>
      </c>
      <c r="F1212" s="30"/>
      <c r="G1212" s="31"/>
      <c r="H1212" s="13">
        <v>0</v>
      </c>
      <c r="I1212" s="13">
        <v>0</v>
      </c>
      <c r="J1212" s="30"/>
      <c r="K1212" s="37"/>
    </row>
    <row r="1213" spans="3:11" ht="15.5" thickTop="1" thickBot="1" x14ac:dyDescent="0.4">
      <c r="C1213" s="29"/>
      <c r="D1213" s="30"/>
      <c r="E1213" s="106" t="str">
        <f>IFERROR(VLOOKUP($D1213,NUMDIST[],2,FALSE),"DA Non trouvéé")</f>
        <v>DA Non trouvéé</v>
      </c>
      <c r="F1213" s="30"/>
      <c r="G1213" s="31"/>
      <c r="H1213" s="13">
        <v>0</v>
      </c>
      <c r="I1213" s="13">
        <v>0</v>
      </c>
      <c r="J1213" s="30"/>
      <c r="K1213" s="37"/>
    </row>
    <row r="1214" spans="3:11" ht="15.5" thickTop="1" thickBot="1" x14ac:dyDescent="0.4">
      <c r="C1214" s="29"/>
      <c r="D1214" s="30"/>
      <c r="E1214" s="106" t="str">
        <f>IFERROR(VLOOKUP($D1214,NUMDIST[],2,FALSE),"DA Non trouvéé")</f>
        <v>DA Non trouvéé</v>
      </c>
      <c r="F1214" s="30"/>
      <c r="G1214" s="31"/>
      <c r="H1214" s="13">
        <v>0</v>
      </c>
      <c r="I1214" s="13">
        <v>0</v>
      </c>
      <c r="J1214" s="30"/>
      <c r="K1214" s="37"/>
    </row>
    <row r="1215" spans="3:11" ht="15.5" thickTop="1" thickBot="1" x14ac:dyDescent="0.4">
      <c r="C1215" s="29"/>
      <c r="D1215" s="30"/>
      <c r="E1215" s="106" t="str">
        <f>IFERROR(VLOOKUP($D1215,NUMDIST[],2,FALSE),"DA Non trouvéé")</f>
        <v>DA Non trouvéé</v>
      </c>
      <c r="F1215" s="30"/>
      <c r="G1215" s="31"/>
      <c r="H1215" s="13">
        <v>0</v>
      </c>
      <c r="I1215" s="13">
        <v>0</v>
      </c>
      <c r="J1215" s="30"/>
      <c r="K1215" s="37"/>
    </row>
    <row r="1216" spans="3:11" ht="15.5" thickTop="1" thickBot="1" x14ac:dyDescent="0.4">
      <c r="C1216" s="29"/>
      <c r="D1216" s="30"/>
      <c r="E1216" s="106" t="str">
        <f>IFERROR(VLOOKUP($D1216,NUMDIST[],2,FALSE),"DA Non trouvéé")</f>
        <v>DA Non trouvéé</v>
      </c>
      <c r="F1216" s="30"/>
      <c r="G1216" s="31"/>
      <c r="H1216" s="13">
        <v>0</v>
      </c>
      <c r="I1216" s="13">
        <v>0</v>
      </c>
      <c r="J1216" s="30"/>
      <c r="K1216" s="37"/>
    </row>
    <row r="1217" spans="3:11" ht="15.5" thickTop="1" thickBot="1" x14ac:dyDescent="0.4">
      <c r="C1217" s="29"/>
      <c r="D1217" s="30"/>
      <c r="E1217" s="106" t="str">
        <f>IFERROR(VLOOKUP($D1217,NUMDIST[],2,FALSE),"DA Non trouvéé")</f>
        <v>DA Non trouvéé</v>
      </c>
      <c r="F1217" s="30"/>
      <c r="G1217" s="31"/>
      <c r="H1217" s="13">
        <v>0</v>
      </c>
      <c r="I1217" s="13">
        <v>0</v>
      </c>
      <c r="J1217" s="30"/>
      <c r="K1217" s="37"/>
    </row>
    <row r="1218" spans="3:11" ht="15.5" thickTop="1" thickBot="1" x14ac:dyDescent="0.4">
      <c r="C1218" s="29"/>
      <c r="D1218" s="30"/>
      <c r="E1218" s="106" t="str">
        <f>IFERROR(VLOOKUP($D1218,NUMDIST[],2,FALSE),"DA Non trouvéé")</f>
        <v>DA Non trouvéé</v>
      </c>
      <c r="F1218" s="30"/>
      <c r="G1218" s="31"/>
      <c r="H1218" s="13">
        <v>0</v>
      </c>
      <c r="I1218" s="13">
        <v>0</v>
      </c>
      <c r="J1218" s="30"/>
      <c r="K1218" s="37"/>
    </row>
    <row r="1219" spans="3:11" ht="15.5" thickTop="1" thickBot="1" x14ac:dyDescent="0.4">
      <c r="C1219" s="29"/>
      <c r="D1219" s="30"/>
      <c r="E1219" s="106" t="str">
        <f>IFERROR(VLOOKUP($D1219,NUMDIST[],2,FALSE),"DA Non trouvéé")</f>
        <v>DA Non trouvéé</v>
      </c>
      <c r="F1219" s="30"/>
      <c r="G1219" s="31"/>
      <c r="H1219" s="13">
        <v>0</v>
      </c>
      <c r="I1219" s="13">
        <v>0</v>
      </c>
      <c r="J1219" s="30"/>
      <c r="K1219" s="37"/>
    </row>
    <row r="1220" spans="3:11" ht="15.5" thickTop="1" thickBot="1" x14ac:dyDescent="0.4">
      <c r="C1220" s="29"/>
      <c r="D1220" s="30"/>
      <c r="E1220" s="106" t="str">
        <f>IFERROR(VLOOKUP($D1220,NUMDIST[],2,FALSE),"DA Non trouvéé")</f>
        <v>DA Non trouvéé</v>
      </c>
      <c r="F1220" s="30"/>
      <c r="G1220" s="31"/>
      <c r="H1220" s="13">
        <v>0</v>
      </c>
      <c r="I1220" s="13">
        <v>0</v>
      </c>
      <c r="J1220" s="30"/>
      <c r="K1220" s="37"/>
    </row>
    <row r="1221" spans="3:11" ht="15.5" thickTop="1" thickBot="1" x14ac:dyDescent="0.4">
      <c r="C1221" s="29"/>
      <c r="D1221" s="30"/>
      <c r="E1221" s="106" t="str">
        <f>IFERROR(VLOOKUP($D1221,NUMDIST[],2,FALSE),"DA Non trouvéé")</f>
        <v>DA Non trouvéé</v>
      </c>
      <c r="F1221" s="30"/>
      <c r="G1221" s="31"/>
      <c r="H1221" s="13">
        <v>0</v>
      </c>
      <c r="I1221" s="13">
        <v>0</v>
      </c>
      <c r="J1221" s="30"/>
      <c r="K1221" s="37"/>
    </row>
    <row r="1222" spans="3:11" ht="15.5" thickTop="1" thickBot="1" x14ac:dyDescent="0.4">
      <c r="C1222" s="29"/>
      <c r="D1222" s="30"/>
      <c r="E1222" s="106" t="str">
        <f>IFERROR(VLOOKUP($D1222,NUMDIST[],2,FALSE),"DA Non trouvéé")</f>
        <v>DA Non trouvéé</v>
      </c>
      <c r="F1222" s="30"/>
      <c r="G1222" s="31"/>
      <c r="H1222" s="13">
        <v>0</v>
      </c>
      <c r="I1222" s="13">
        <v>0</v>
      </c>
      <c r="J1222" s="30"/>
      <c r="K1222" s="37"/>
    </row>
    <row r="1223" spans="3:11" ht="15.5" thickTop="1" thickBot="1" x14ac:dyDescent="0.4">
      <c r="C1223" s="29"/>
      <c r="D1223" s="30"/>
      <c r="E1223" s="106" t="str">
        <f>IFERROR(VLOOKUP($D1223,NUMDIST[],2,FALSE),"DA Non trouvéé")</f>
        <v>DA Non trouvéé</v>
      </c>
      <c r="F1223" s="30"/>
      <c r="G1223" s="31"/>
      <c r="H1223" s="13">
        <v>0</v>
      </c>
      <c r="I1223" s="13">
        <v>0</v>
      </c>
      <c r="J1223" s="30"/>
      <c r="K1223" s="37"/>
    </row>
    <row r="1224" spans="3:11" ht="15.5" thickTop="1" thickBot="1" x14ac:dyDescent="0.4">
      <c r="C1224" s="29"/>
      <c r="D1224" s="30"/>
      <c r="E1224" s="106" t="str">
        <f>IFERROR(VLOOKUP($D1224,NUMDIST[],2,FALSE),"DA Non trouvéé")</f>
        <v>DA Non trouvéé</v>
      </c>
      <c r="F1224" s="30"/>
      <c r="G1224" s="31"/>
      <c r="H1224" s="13">
        <v>0</v>
      </c>
      <c r="I1224" s="13">
        <v>0</v>
      </c>
      <c r="J1224" s="30"/>
      <c r="K1224" s="37"/>
    </row>
    <row r="1225" spans="3:11" ht="15.5" thickTop="1" thickBot="1" x14ac:dyDescent="0.4">
      <c r="C1225" s="29"/>
      <c r="D1225" s="30"/>
      <c r="E1225" s="106" t="str">
        <f>IFERROR(VLOOKUP($D1225,NUMDIST[],2,FALSE),"DA Non trouvéé")</f>
        <v>DA Non trouvéé</v>
      </c>
      <c r="F1225" s="30"/>
      <c r="G1225" s="31"/>
      <c r="H1225" s="13">
        <v>0</v>
      </c>
      <c r="I1225" s="13">
        <v>0</v>
      </c>
      <c r="J1225" s="30"/>
      <c r="K1225" s="37"/>
    </row>
    <row r="1226" spans="3:11" ht="15.5" thickTop="1" thickBot="1" x14ac:dyDescent="0.4">
      <c r="C1226" s="29"/>
      <c r="D1226" s="30"/>
      <c r="E1226" s="106" t="str">
        <f>IFERROR(VLOOKUP($D1226,NUMDIST[],2,FALSE),"DA Non trouvéé")</f>
        <v>DA Non trouvéé</v>
      </c>
      <c r="F1226" s="30"/>
      <c r="G1226" s="31"/>
      <c r="H1226" s="13">
        <v>0</v>
      </c>
      <c r="I1226" s="13">
        <v>0</v>
      </c>
      <c r="J1226" s="30"/>
      <c r="K1226" s="37"/>
    </row>
    <row r="1227" spans="3:11" ht="15.5" thickTop="1" thickBot="1" x14ac:dyDescent="0.4">
      <c r="C1227" s="29"/>
      <c r="D1227" s="30"/>
      <c r="E1227" s="106" t="str">
        <f>IFERROR(VLOOKUP($D1227,NUMDIST[],2,FALSE),"DA Non trouvéé")</f>
        <v>DA Non trouvéé</v>
      </c>
      <c r="F1227" s="30"/>
      <c r="G1227" s="31"/>
      <c r="H1227" s="13">
        <v>0</v>
      </c>
      <c r="I1227" s="13">
        <v>0</v>
      </c>
      <c r="J1227" s="30"/>
      <c r="K1227" s="37"/>
    </row>
    <row r="1228" spans="3:11" ht="15.5" thickTop="1" thickBot="1" x14ac:dyDescent="0.4">
      <c r="C1228" s="29"/>
      <c r="D1228" s="30"/>
      <c r="E1228" s="106" t="str">
        <f>IFERROR(VLOOKUP($D1228,NUMDIST[],2,FALSE),"DA Non trouvéé")</f>
        <v>DA Non trouvéé</v>
      </c>
      <c r="F1228" s="30"/>
      <c r="G1228" s="31"/>
      <c r="H1228" s="13">
        <v>0</v>
      </c>
      <c r="I1228" s="13">
        <v>0</v>
      </c>
      <c r="J1228" s="30"/>
      <c r="K1228" s="37"/>
    </row>
    <row r="1229" spans="3:11" ht="15.5" thickTop="1" thickBot="1" x14ac:dyDescent="0.4">
      <c r="C1229" s="29"/>
      <c r="D1229" s="30"/>
      <c r="E1229" s="106" t="str">
        <f>IFERROR(VLOOKUP($D1229,NUMDIST[],2,FALSE),"DA Non trouvéé")</f>
        <v>DA Non trouvéé</v>
      </c>
      <c r="F1229" s="30"/>
      <c r="G1229" s="31"/>
      <c r="H1229" s="13">
        <v>0</v>
      </c>
      <c r="I1229" s="13">
        <v>0</v>
      </c>
      <c r="J1229" s="30"/>
      <c r="K1229" s="37"/>
    </row>
    <row r="1230" spans="3:11" ht="15.5" thickTop="1" thickBot="1" x14ac:dyDescent="0.4">
      <c r="C1230" s="29"/>
      <c r="D1230" s="30"/>
      <c r="E1230" s="106" t="str">
        <f>IFERROR(VLOOKUP($D1230,NUMDIST[],2,FALSE),"DA Non trouvéé")</f>
        <v>DA Non trouvéé</v>
      </c>
      <c r="F1230" s="30"/>
      <c r="G1230" s="31"/>
      <c r="H1230" s="13">
        <v>0</v>
      </c>
      <c r="I1230" s="13">
        <v>0</v>
      </c>
      <c r="J1230" s="30"/>
      <c r="K1230" s="37"/>
    </row>
    <row r="1231" spans="3:11" ht="15.5" thickTop="1" thickBot="1" x14ac:dyDescent="0.4">
      <c r="C1231" s="29"/>
      <c r="D1231" s="30"/>
      <c r="E1231" s="106" t="str">
        <f>IFERROR(VLOOKUP($D1231,NUMDIST[],2,FALSE),"DA Non trouvéé")</f>
        <v>DA Non trouvéé</v>
      </c>
      <c r="F1231" s="30"/>
      <c r="G1231" s="31"/>
      <c r="H1231" s="13">
        <v>0</v>
      </c>
      <c r="I1231" s="13">
        <v>0</v>
      </c>
      <c r="J1231" s="30"/>
      <c r="K1231" s="37"/>
    </row>
    <row r="1232" spans="3:11" ht="15.5" thickTop="1" thickBot="1" x14ac:dyDescent="0.4">
      <c r="C1232" s="29"/>
      <c r="D1232" s="30"/>
      <c r="E1232" s="106" t="str">
        <f>IFERROR(VLOOKUP($D1232,NUMDIST[],2,FALSE),"DA Non trouvéé")</f>
        <v>DA Non trouvéé</v>
      </c>
      <c r="F1232" s="30"/>
      <c r="G1232" s="31"/>
      <c r="H1232" s="13">
        <v>0</v>
      </c>
      <c r="I1232" s="13">
        <v>0</v>
      </c>
      <c r="J1232" s="30"/>
      <c r="K1232" s="37"/>
    </row>
    <row r="1233" spans="3:11" ht="15.5" thickTop="1" thickBot="1" x14ac:dyDescent="0.4">
      <c r="C1233" s="29"/>
      <c r="D1233" s="30"/>
      <c r="E1233" s="106" t="str">
        <f>IFERROR(VLOOKUP($D1233,NUMDIST[],2,FALSE),"DA Non trouvéé")</f>
        <v>DA Non trouvéé</v>
      </c>
      <c r="F1233" s="30"/>
      <c r="G1233" s="31"/>
      <c r="H1233" s="13">
        <v>0</v>
      </c>
      <c r="I1233" s="13">
        <v>0</v>
      </c>
      <c r="J1233" s="30"/>
      <c r="K1233" s="37"/>
    </row>
    <row r="1234" spans="3:11" ht="15.5" thickTop="1" thickBot="1" x14ac:dyDescent="0.4">
      <c r="C1234" s="29"/>
      <c r="D1234" s="30"/>
      <c r="E1234" s="106" t="str">
        <f>IFERROR(VLOOKUP($D1234,NUMDIST[],2,FALSE),"DA Non trouvéé")</f>
        <v>DA Non trouvéé</v>
      </c>
      <c r="F1234" s="30"/>
      <c r="G1234" s="31"/>
      <c r="H1234" s="13">
        <v>0</v>
      </c>
      <c r="I1234" s="13">
        <v>0</v>
      </c>
      <c r="J1234" s="30"/>
      <c r="K1234" s="37"/>
    </row>
    <row r="1235" spans="3:11" ht="15.5" thickTop="1" thickBot="1" x14ac:dyDescent="0.4">
      <c r="C1235" s="29"/>
      <c r="D1235" s="30"/>
      <c r="E1235" s="106" t="str">
        <f>IFERROR(VLOOKUP($D1235,NUMDIST[],2,FALSE),"DA Non trouvéé")</f>
        <v>DA Non trouvéé</v>
      </c>
      <c r="F1235" s="30"/>
      <c r="G1235" s="31"/>
      <c r="H1235" s="13">
        <v>0</v>
      </c>
      <c r="I1235" s="13">
        <v>0</v>
      </c>
      <c r="J1235" s="30"/>
      <c r="K1235" s="37"/>
    </row>
    <row r="1236" spans="3:11" ht="15.5" thickTop="1" thickBot="1" x14ac:dyDescent="0.4">
      <c r="C1236" s="29"/>
      <c r="D1236" s="30"/>
      <c r="E1236" s="106" t="str">
        <f>IFERROR(VLOOKUP($D1236,NUMDIST[],2,FALSE),"DA Non trouvéé")</f>
        <v>DA Non trouvéé</v>
      </c>
      <c r="F1236" s="30"/>
      <c r="G1236" s="31"/>
      <c r="H1236" s="13">
        <v>0</v>
      </c>
      <c r="I1236" s="13">
        <v>0</v>
      </c>
      <c r="J1236" s="30"/>
      <c r="K1236" s="37"/>
    </row>
    <row r="1237" spans="3:11" ht="15.5" thickTop="1" thickBot="1" x14ac:dyDescent="0.4">
      <c r="C1237" s="29"/>
      <c r="D1237" s="30"/>
      <c r="E1237" s="106" t="str">
        <f>IFERROR(VLOOKUP($D1237,NUMDIST[],2,FALSE),"DA Non trouvéé")</f>
        <v>DA Non trouvéé</v>
      </c>
      <c r="F1237" s="30"/>
      <c r="G1237" s="31"/>
      <c r="H1237" s="13">
        <v>0</v>
      </c>
      <c r="I1237" s="13">
        <v>0</v>
      </c>
      <c r="J1237" s="30"/>
      <c r="K1237" s="37"/>
    </row>
    <row r="1238" spans="3:11" ht="15.5" thickTop="1" thickBot="1" x14ac:dyDescent="0.4">
      <c r="C1238" s="29"/>
      <c r="D1238" s="30"/>
      <c r="E1238" s="106" t="str">
        <f>IFERROR(VLOOKUP($D1238,NUMDIST[],2,FALSE),"DA Non trouvéé")</f>
        <v>DA Non trouvéé</v>
      </c>
      <c r="F1238" s="30"/>
      <c r="G1238" s="31"/>
      <c r="H1238" s="13">
        <v>0</v>
      </c>
      <c r="I1238" s="13">
        <v>0</v>
      </c>
      <c r="J1238" s="30"/>
      <c r="K1238" s="37"/>
    </row>
    <row r="1239" spans="3:11" ht="15.5" thickTop="1" thickBot="1" x14ac:dyDescent="0.4">
      <c r="C1239" s="29"/>
      <c r="D1239" s="30"/>
      <c r="E1239" s="106" t="str">
        <f>IFERROR(VLOOKUP($D1239,NUMDIST[],2,FALSE),"DA Non trouvéé")</f>
        <v>DA Non trouvéé</v>
      </c>
      <c r="F1239" s="30"/>
      <c r="G1239" s="31"/>
      <c r="H1239" s="13">
        <v>0</v>
      </c>
      <c r="I1239" s="13">
        <v>0</v>
      </c>
      <c r="J1239" s="30"/>
      <c r="K1239" s="37"/>
    </row>
    <row r="1240" spans="3:11" ht="15.5" thickTop="1" thickBot="1" x14ac:dyDescent="0.4">
      <c r="C1240" s="29"/>
      <c r="D1240" s="30"/>
      <c r="E1240" s="106" t="str">
        <f>IFERROR(VLOOKUP($D1240,NUMDIST[],2,FALSE),"DA Non trouvéé")</f>
        <v>DA Non trouvéé</v>
      </c>
      <c r="F1240" s="30"/>
      <c r="G1240" s="31"/>
      <c r="H1240" s="13">
        <v>0</v>
      </c>
      <c r="I1240" s="13">
        <v>0</v>
      </c>
      <c r="J1240" s="30"/>
      <c r="K1240" s="37"/>
    </row>
    <row r="1241" spans="3:11" ht="15.5" thickTop="1" thickBot="1" x14ac:dyDescent="0.4">
      <c r="C1241" s="29"/>
      <c r="D1241" s="30"/>
      <c r="E1241" s="106" t="str">
        <f>IFERROR(VLOOKUP($D1241,NUMDIST[],2,FALSE),"DA Non trouvéé")</f>
        <v>DA Non trouvéé</v>
      </c>
      <c r="F1241" s="30"/>
      <c r="G1241" s="31"/>
      <c r="H1241" s="13">
        <v>0</v>
      </c>
      <c r="I1241" s="13">
        <v>0</v>
      </c>
      <c r="J1241" s="30"/>
      <c r="K1241" s="37"/>
    </row>
    <row r="1242" spans="3:11" ht="15.5" thickTop="1" thickBot="1" x14ac:dyDescent="0.4">
      <c r="C1242" s="29"/>
      <c r="D1242" s="30"/>
      <c r="E1242" s="106" t="str">
        <f>IFERROR(VLOOKUP($D1242,NUMDIST[],2,FALSE),"DA Non trouvéé")</f>
        <v>DA Non trouvéé</v>
      </c>
      <c r="F1242" s="30"/>
      <c r="G1242" s="31"/>
      <c r="H1242" s="13">
        <v>0</v>
      </c>
      <c r="I1242" s="13">
        <v>0</v>
      </c>
      <c r="J1242" s="30"/>
      <c r="K1242" s="37"/>
    </row>
    <row r="1243" spans="3:11" ht="15.5" thickTop="1" thickBot="1" x14ac:dyDescent="0.4">
      <c r="C1243" s="29"/>
      <c r="D1243" s="30"/>
      <c r="E1243" s="106" t="str">
        <f>IFERROR(VLOOKUP($D1243,NUMDIST[],2,FALSE),"DA Non trouvéé")</f>
        <v>DA Non trouvéé</v>
      </c>
      <c r="F1243" s="30"/>
      <c r="G1243" s="31"/>
      <c r="H1243" s="13">
        <v>0</v>
      </c>
      <c r="I1243" s="13">
        <v>0</v>
      </c>
      <c r="J1243" s="30"/>
      <c r="K1243" s="37"/>
    </row>
    <row r="1244" spans="3:11" ht="15.5" thickTop="1" thickBot="1" x14ac:dyDescent="0.4">
      <c r="C1244" s="29"/>
      <c r="D1244" s="30"/>
      <c r="E1244" s="106" t="str">
        <f>IFERROR(VLOOKUP($D1244,NUMDIST[],2,FALSE),"DA Non trouvéé")</f>
        <v>DA Non trouvéé</v>
      </c>
      <c r="F1244" s="30"/>
      <c r="G1244" s="31"/>
      <c r="H1244" s="13">
        <v>0</v>
      </c>
      <c r="I1244" s="13">
        <v>0</v>
      </c>
      <c r="J1244" s="30"/>
      <c r="K1244" s="37"/>
    </row>
    <row r="1245" spans="3:11" ht="15.5" thickTop="1" thickBot="1" x14ac:dyDescent="0.4">
      <c r="C1245" s="29"/>
      <c r="D1245" s="30"/>
      <c r="E1245" s="106" t="str">
        <f>IFERROR(VLOOKUP($D1245,NUMDIST[],2,FALSE),"DA Non trouvéé")</f>
        <v>DA Non trouvéé</v>
      </c>
      <c r="F1245" s="30"/>
      <c r="G1245" s="31"/>
      <c r="H1245" s="13">
        <v>0</v>
      </c>
      <c r="I1245" s="13">
        <v>0</v>
      </c>
      <c r="J1245" s="30"/>
      <c r="K1245" s="37"/>
    </row>
    <row r="1246" spans="3:11" ht="15.5" thickTop="1" thickBot="1" x14ac:dyDescent="0.4">
      <c r="C1246" s="29"/>
      <c r="D1246" s="30"/>
      <c r="E1246" s="106" t="str">
        <f>IFERROR(VLOOKUP($D1246,NUMDIST[],2,FALSE),"DA Non trouvéé")</f>
        <v>DA Non trouvéé</v>
      </c>
      <c r="F1246" s="30"/>
      <c r="G1246" s="31"/>
      <c r="H1246" s="13">
        <v>0</v>
      </c>
      <c r="I1246" s="13">
        <v>0</v>
      </c>
      <c r="J1246" s="30"/>
      <c r="K1246" s="37"/>
    </row>
    <row r="1247" spans="3:11" ht="15.5" thickTop="1" thickBot="1" x14ac:dyDescent="0.4">
      <c r="C1247" s="29"/>
      <c r="D1247" s="30"/>
      <c r="E1247" s="106" t="str">
        <f>IFERROR(VLOOKUP($D1247,NUMDIST[],2,FALSE),"DA Non trouvéé")</f>
        <v>DA Non trouvéé</v>
      </c>
      <c r="F1247" s="30"/>
      <c r="G1247" s="31"/>
      <c r="H1247" s="13">
        <v>0</v>
      </c>
      <c r="I1247" s="13">
        <v>0</v>
      </c>
      <c r="J1247" s="30"/>
      <c r="K1247" s="37"/>
    </row>
    <row r="1248" spans="3:11" ht="15.5" thickTop="1" thickBot="1" x14ac:dyDescent="0.4">
      <c r="C1248" s="29"/>
      <c r="D1248" s="30"/>
      <c r="E1248" s="106" t="str">
        <f>IFERROR(VLOOKUP($D1248,NUMDIST[],2,FALSE),"DA Non trouvéé")</f>
        <v>DA Non trouvéé</v>
      </c>
      <c r="F1248" s="30"/>
      <c r="G1248" s="31"/>
      <c r="H1248" s="13">
        <v>0</v>
      </c>
      <c r="I1248" s="13">
        <v>0</v>
      </c>
      <c r="J1248" s="30"/>
      <c r="K1248" s="37"/>
    </row>
    <row r="1249" spans="3:11" ht="15.5" thickTop="1" thickBot="1" x14ac:dyDescent="0.4">
      <c r="C1249" s="29"/>
      <c r="D1249" s="30"/>
      <c r="E1249" s="106" t="str">
        <f>IFERROR(VLOOKUP($D1249,NUMDIST[],2,FALSE),"DA Non trouvéé")</f>
        <v>DA Non trouvéé</v>
      </c>
      <c r="F1249" s="30"/>
      <c r="G1249" s="31"/>
      <c r="H1249" s="13">
        <v>0</v>
      </c>
      <c r="I1249" s="13">
        <v>0</v>
      </c>
      <c r="J1249" s="30"/>
      <c r="K1249" s="37"/>
    </row>
    <row r="1250" spans="3:11" ht="15.5" thickTop="1" thickBot="1" x14ac:dyDescent="0.4">
      <c r="C1250" s="29"/>
      <c r="D1250" s="30"/>
      <c r="E1250" s="106" t="str">
        <f>IFERROR(VLOOKUP($D1250,NUMDIST[],2,FALSE),"DA Non trouvéé")</f>
        <v>DA Non trouvéé</v>
      </c>
      <c r="F1250" s="30"/>
      <c r="G1250" s="31"/>
      <c r="H1250" s="13">
        <v>0</v>
      </c>
      <c r="I1250" s="13">
        <v>0</v>
      </c>
      <c r="J1250" s="30"/>
      <c r="K1250" s="37"/>
    </row>
    <row r="1251" spans="3:11" ht="15.5" thickTop="1" thickBot="1" x14ac:dyDescent="0.4">
      <c r="C1251" s="29"/>
      <c r="D1251" s="30"/>
      <c r="E1251" s="106" t="str">
        <f>IFERROR(VLOOKUP($D1251,NUMDIST[],2,FALSE),"DA Non trouvéé")</f>
        <v>DA Non trouvéé</v>
      </c>
      <c r="F1251" s="30"/>
      <c r="G1251" s="31"/>
      <c r="H1251" s="13">
        <v>0</v>
      </c>
      <c r="I1251" s="13">
        <v>0</v>
      </c>
      <c r="J1251" s="30"/>
      <c r="K1251" s="37"/>
    </row>
    <row r="1252" spans="3:11" ht="15.5" thickTop="1" thickBot="1" x14ac:dyDescent="0.4">
      <c r="C1252" s="29"/>
      <c r="D1252" s="30"/>
      <c r="E1252" s="106" t="str">
        <f>IFERROR(VLOOKUP($D1252,NUMDIST[],2,FALSE),"DA Non trouvéé")</f>
        <v>DA Non trouvéé</v>
      </c>
      <c r="F1252" s="30"/>
      <c r="G1252" s="31"/>
      <c r="H1252" s="13">
        <v>0</v>
      </c>
      <c r="I1252" s="13">
        <v>0</v>
      </c>
      <c r="J1252" s="30"/>
      <c r="K1252" s="37"/>
    </row>
    <row r="1253" spans="3:11" ht="15.5" thickTop="1" thickBot="1" x14ac:dyDescent="0.4">
      <c r="C1253" s="29"/>
      <c r="D1253" s="30"/>
      <c r="E1253" s="106" t="str">
        <f>IFERROR(VLOOKUP($D1253,NUMDIST[],2,FALSE),"DA Non trouvéé")</f>
        <v>DA Non trouvéé</v>
      </c>
      <c r="F1253" s="30"/>
      <c r="G1253" s="31"/>
      <c r="H1253" s="13">
        <v>0</v>
      </c>
      <c r="I1253" s="13">
        <v>0</v>
      </c>
      <c r="J1253" s="30"/>
      <c r="K1253" s="37"/>
    </row>
    <row r="1254" spans="3:11" ht="15.5" thickTop="1" thickBot="1" x14ac:dyDescent="0.4">
      <c r="C1254" s="29"/>
      <c r="D1254" s="30"/>
      <c r="E1254" s="106" t="str">
        <f>IFERROR(VLOOKUP($D1254,NUMDIST[],2,FALSE),"DA Non trouvéé")</f>
        <v>DA Non trouvéé</v>
      </c>
      <c r="F1254" s="30"/>
      <c r="G1254" s="31"/>
      <c r="H1254" s="13">
        <v>0</v>
      </c>
      <c r="I1254" s="13">
        <v>0</v>
      </c>
      <c r="J1254" s="30"/>
      <c r="K1254" s="37"/>
    </row>
    <row r="1255" spans="3:11" ht="15.5" thickTop="1" thickBot="1" x14ac:dyDescent="0.4">
      <c r="C1255" s="29"/>
      <c r="D1255" s="30"/>
      <c r="E1255" s="106" t="str">
        <f>IFERROR(VLOOKUP($D1255,NUMDIST[],2,FALSE),"DA Non trouvéé")</f>
        <v>DA Non trouvéé</v>
      </c>
      <c r="F1255" s="30"/>
      <c r="G1255" s="31"/>
      <c r="H1255" s="13">
        <v>0</v>
      </c>
      <c r="I1255" s="13">
        <v>0</v>
      </c>
      <c r="J1255" s="30"/>
      <c r="K1255" s="37"/>
    </row>
    <row r="1256" spans="3:11" ht="15.5" thickTop="1" thickBot="1" x14ac:dyDescent="0.4">
      <c r="C1256" s="29"/>
      <c r="D1256" s="30"/>
      <c r="E1256" s="106" t="str">
        <f>IFERROR(VLOOKUP($D1256,NUMDIST[],2,FALSE),"DA Non trouvéé")</f>
        <v>DA Non trouvéé</v>
      </c>
      <c r="F1256" s="30"/>
      <c r="G1256" s="31"/>
      <c r="H1256" s="13">
        <v>0</v>
      </c>
      <c r="I1256" s="13">
        <v>0</v>
      </c>
      <c r="J1256" s="30"/>
      <c r="K1256" s="37"/>
    </row>
    <row r="1257" spans="3:11" ht="15.5" thickTop="1" thickBot="1" x14ac:dyDescent="0.4">
      <c r="C1257" s="29"/>
      <c r="D1257" s="30"/>
      <c r="E1257" s="106" t="str">
        <f>IFERROR(VLOOKUP($D1257,NUMDIST[],2,FALSE),"DA Non trouvéé")</f>
        <v>DA Non trouvéé</v>
      </c>
      <c r="F1257" s="30"/>
      <c r="G1257" s="31"/>
      <c r="H1257" s="13">
        <v>0</v>
      </c>
      <c r="I1257" s="13">
        <v>0</v>
      </c>
      <c r="J1257" s="30"/>
      <c r="K1257" s="37"/>
    </row>
    <row r="1258" spans="3:11" ht="15.5" thickTop="1" thickBot="1" x14ac:dyDescent="0.4">
      <c r="C1258" s="29"/>
      <c r="D1258" s="30"/>
      <c r="E1258" s="106" t="str">
        <f>IFERROR(VLOOKUP($D1258,NUMDIST[],2,FALSE),"DA Non trouvéé")</f>
        <v>DA Non trouvéé</v>
      </c>
      <c r="F1258" s="30"/>
      <c r="G1258" s="31"/>
      <c r="H1258" s="13">
        <v>0</v>
      </c>
      <c r="I1258" s="13">
        <v>0</v>
      </c>
      <c r="J1258" s="30"/>
      <c r="K1258" s="37"/>
    </row>
    <row r="1259" spans="3:11" ht="15.5" thickTop="1" thickBot="1" x14ac:dyDescent="0.4">
      <c r="C1259" s="29"/>
      <c r="D1259" s="30"/>
      <c r="E1259" s="106" t="str">
        <f>IFERROR(VLOOKUP($D1259,NUMDIST[],2,FALSE),"DA Non trouvéé")</f>
        <v>DA Non trouvéé</v>
      </c>
      <c r="F1259" s="30"/>
      <c r="G1259" s="31"/>
      <c r="H1259" s="13">
        <v>0</v>
      </c>
      <c r="I1259" s="13">
        <v>0</v>
      </c>
      <c r="J1259" s="30"/>
      <c r="K1259" s="37"/>
    </row>
    <row r="1260" spans="3:11" ht="15.5" thickTop="1" thickBot="1" x14ac:dyDescent="0.4">
      <c r="C1260" s="29"/>
      <c r="D1260" s="30"/>
      <c r="E1260" s="106" t="str">
        <f>IFERROR(VLOOKUP($D1260,NUMDIST[],2,FALSE),"DA Non trouvéé")</f>
        <v>DA Non trouvéé</v>
      </c>
      <c r="F1260" s="30"/>
      <c r="G1260" s="31"/>
      <c r="H1260" s="13">
        <v>0</v>
      </c>
      <c r="I1260" s="13">
        <v>0</v>
      </c>
      <c r="J1260" s="30"/>
      <c r="K1260" s="37"/>
    </row>
    <row r="1261" spans="3:11" ht="15.5" thickTop="1" thickBot="1" x14ac:dyDescent="0.4">
      <c r="C1261" s="29"/>
      <c r="D1261" s="30"/>
      <c r="E1261" s="106" t="str">
        <f>IFERROR(VLOOKUP($D1261,NUMDIST[],2,FALSE),"DA Non trouvéé")</f>
        <v>DA Non trouvéé</v>
      </c>
      <c r="F1261" s="30"/>
      <c r="G1261" s="31"/>
      <c r="H1261" s="13">
        <v>0</v>
      </c>
      <c r="I1261" s="13">
        <v>0</v>
      </c>
      <c r="J1261" s="30"/>
      <c r="K1261" s="37"/>
    </row>
    <row r="1262" spans="3:11" ht="15.5" thickTop="1" thickBot="1" x14ac:dyDescent="0.4">
      <c r="C1262" s="29"/>
      <c r="D1262" s="30"/>
      <c r="E1262" s="106" t="str">
        <f>IFERROR(VLOOKUP($D1262,NUMDIST[],2,FALSE),"DA Non trouvéé")</f>
        <v>DA Non trouvéé</v>
      </c>
      <c r="F1262" s="30"/>
      <c r="G1262" s="31"/>
      <c r="H1262" s="13">
        <v>0</v>
      </c>
      <c r="I1262" s="13">
        <v>0</v>
      </c>
      <c r="J1262" s="30"/>
      <c r="K1262" s="37"/>
    </row>
    <row r="1263" spans="3:11" ht="15.5" thickTop="1" thickBot="1" x14ac:dyDescent="0.4">
      <c r="C1263" s="29"/>
      <c r="D1263" s="30"/>
      <c r="E1263" s="106" t="str">
        <f>IFERROR(VLOOKUP($D1263,NUMDIST[],2,FALSE),"DA Non trouvéé")</f>
        <v>DA Non trouvéé</v>
      </c>
      <c r="F1263" s="30"/>
      <c r="G1263" s="31"/>
      <c r="H1263" s="13">
        <v>0</v>
      </c>
      <c r="I1263" s="13">
        <v>0</v>
      </c>
      <c r="J1263" s="30"/>
      <c r="K1263" s="37"/>
    </row>
    <row r="1264" spans="3:11" ht="15.5" thickTop="1" thickBot="1" x14ac:dyDescent="0.4">
      <c r="C1264" s="29"/>
      <c r="D1264" s="30"/>
      <c r="E1264" s="106" t="str">
        <f>IFERROR(VLOOKUP($D1264,NUMDIST[],2,FALSE),"DA Non trouvéé")</f>
        <v>DA Non trouvéé</v>
      </c>
      <c r="F1264" s="30"/>
      <c r="G1264" s="31"/>
      <c r="H1264" s="13">
        <v>0</v>
      </c>
      <c r="I1264" s="13">
        <v>0</v>
      </c>
      <c r="J1264" s="30"/>
      <c r="K1264" s="37"/>
    </row>
    <row r="1265" spans="3:11" ht="15.5" thickTop="1" thickBot="1" x14ac:dyDescent="0.4">
      <c r="C1265" s="29"/>
      <c r="D1265" s="30"/>
      <c r="E1265" s="106" t="str">
        <f>IFERROR(VLOOKUP($D1265,NUMDIST[],2,FALSE),"DA Non trouvéé")</f>
        <v>DA Non trouvéé</v>
      </c>
      <c r="F1265" s="30"/>
      <c r="G1265" s="31"/>
      <c r="H1265" s="13">
        <v>0</v>
      </c>
      <c r="I1265" s="13">
        <v>0</v>
      </c>
      <c r="J1265" s="30"/>
      <c r="K1265" s="37"/>
    </row>
    <row r="1266" spans="3:11" ht="15.5" thickTop="1" thickBot="1" x14ac:dyDescent="0.4">
      <c r="C1266" s="29"/>
      <c r="D1266" s="30"/>
      <c r="E1266" s="106" t="str">
        <f>IFERROR(VLOOKUP($D1266,NUMDIST[],2,FALSE),"DA Non trouvéé")</f>
        <v>DA Non trouvéé</v>
      </c>
      <c r="F1266" s="30"/>
      <c r="G1266" s="31"/>
      <c r="H1266" s="13">
        <v>0</v>
      </c>
      <c r="I1266" s="13">
        <v>0</v>
      </c>
      <c r="J1266" s="30"/>
      <c r="K1266" s="37"/>
    </row>
    <row r="1267" spans="3:11" ht="15.5" thickTop="1" thickBot="1" x14ac:dyDescent="0.4">
      <c r="C1267" s="29"/>
      <c r="D1267" s="30"/>
      <c r="E1267" s="106" t="str">
        <f>IFERROR(VLOOKUP($D1267,NUMDIST[],2,FALSE),"DA Non trouvéé")</f>
        <v>DA Non trouvéé</v>
      </c>
      <c r="F1267" s="30"/>
      <c r="G1267" s="31"/>
      <c r="H1267" s="13">
        <v>0</v>
      </c>
      <c r="I1267" s="13">
        <v>0</v>
      </c>
      <c r="J1267" s="30"/>
      <c r="K1267" s="37"/>
    </row>
    <row r="1268" spans="3:11" ht="15.5" thickTop="1" thickBot="1" x14ac:dyDescent="0.4">
      <c r="C1268" s="29"/>
      <c r="D1268" s="30"/>
      <c r="E1268" s="106" t="str">
        <f>IFERROR(VLOOKUP($D1268,NUMDIST[],2,FALSE),"DA Non trouvéé")</f>
        <v>DA Non trouvéé</v>
      </c>
      <c r="F1268" s="30"/>
      <c r="G1268" s="31"/>
      <c r="H1268" s="13">
        <v>0</v>
      </c>
      <c r="I1268" s="13">
        <v>0</v>
      </c>
      <c r="J1268" s="30"/>
      <c r="K1268" s="37"/>
    </row>
    <row r="1269" spans="3:11" ht="15.5" thickTop="1" thickBot="1" x14ac:dyDescent="0.4">
      <c r="C1269" s="29"/>
      <c r="D1269" s="30"/>
      <c r="E1269" s="106" t="str">
        <f>IFERROR(VLOOKUP($D1269,NUMDIST[],2,FALSE),"DA Non trouvéé")</f>
        <v>DA Non trouvéé</v>
      </c>
      <c r="F1269" s="30"/>
      <c r="G1269" s="31"/>
      <c r="H1269" s="13">
        <v>0</v>
      </c>
      <c r="I1269" s="13">
        <v>0</v>
      </c>
      <c r="J1269" s="30"/>
      <c r="K1269" s="37"/>
    </row>
    <row r="1270" spans="3:11" ht="15.5" thickTop="1" thickBot="1" x14ac:dyDescent="0.4">
      <c r="C1270" s="29"/>
      <c r="D1270" s="30"/>
      <c r="E1270" s="106" t="str">
        <f>IFERROR(VLOOKUP($D1270,NUMDIST[],2,FALSE),"DA Non trouvéé")</f>
        <v>DA Non trouvéé</v>
      </c>
      <c r="F1270" s="30"/>
      <c r="G1270" s="31"/>
      <c r="H1270" s="13">
        <v>0</v>
      </c>
      <c r="I1270" s="13">
        <v>0</v>
      </c>
      <c r="J1270" s="30"/>
      <c r="K1270" s="37"/>
    </row>
    <row r="1271" spans="3:11" ht="15.5" thickTop="1" thickBot="1" x14ac:dyDescent="0.4">
      <c r="C1271" s="29"/>
      <c r="D1271" s="30"/>
      <c r="E1271" s="106" t="str">
        <f>IFERROR(VLOOKUP($D1271,NUMDIST[],2,FALSE),"DA Non trouvéé")</f>
        <v>DA Non trouvéé</v>
      </c>
      <c r="F1271" s="30"/>
      <c r="G1271" s="31"/>
      <c r="H1271" s="13">
        <v>0</v>
      </c>
      <c r="I1271" s="13">
        <v>0</v>
      </c>
      <c r="J1271" s="30"/>
      <c r="K1271" s="37"/>
    </row>
    <row r="1272" spans="3:11" ht="15.5" thickTop="1" thickBot="1" x14ac:dyDescent="0.4">
      <c r="C1272" s="29"/>
      <c r="D1272" s="30"/>
      <c r="E1272" s="106" t="str">
        <f>IFERROR(VLOOKUP($D1272,NUMDIST[],2,FALSE),"DA Non trouvéé")</f>
        <v>DA Non trouvéé</v>
      </c>
      <c r="F1272" s="30"/>
      <c r="G1272" s="31"/>
      <c r="H1272" s="13">
        <v>0</v>
      </c>
      <c r="I1272" s="13">
        <v>0</v>
      </c>
      <c r="J1272" s="30"/>
      <c r="K1272" s="37"/>
    </row>
    <row r="1273" spans="3:11" ht="15.5" thickTop="1" thickBot="1" x14ac:dyDescent="0.4">
      <c r="C1273" s="29"/>
      <c r="D1273" s="30"/>
      <c r="E1273" s="106" t="str">
        <f>IFERROR(VLOOKUP($D1273,NUMDIST[],2,FALSE),"DA Non trouvéé")</f>
        <v>DA Non trouvéé</v>
      </c>
      <c r="F1273" s="30"/>
      <c r="G1273" s="31"/>
      <c r="H1273" s="13">
        <v>0</v>
      </c>
      <c r="I1273" s="13">
        <v>0</v>
      </c>
      <c r="J1273" s="30"/>
      <c r="K1273" s="37"/>
    </row>
    <row r="1274" spans="3:11" ht="15.5" thickTop="1" thickBot="1" x14ac:dyDescent="0.4">
      <c r="C1274" s="29"/>
      <c r="D1274" s="30"/>
      <c r="E1274" s="106" t="str">
        <f>IFERROR(VLOOKUP($D1274,NUMDIST[],2,FALSE),"DA Non trouvéé")</f>
        <v>DA Non trouvéé</v>
      </c>
      <c r="F1274" s="30"/>
      <c r="G1274" s="31"/>
      <c r="H1274" s="13">
        <v>0</v>
      </c>
      <c r="I1274" s="13">
        <v>0</v>
      </c>
      <c r="J1274" s="30"/>
      <c r="K1274" s="37"/>
    </row>
    <row r="1275" spans="3:11" ht="15.5" thickTop="1" thickBot="1" x14ac:dyDescent="0.4">
      <c r="C1275" s="29"/>
      <c r="D1275" s="30"/>
      <c r="E1275" s="106" t="str">
        <f>IFERROR(VLOOKUP($D1275,NUMDIST[],2,FALSE),"DA Non trouvéé")</f>
        <v>DA Non trouvéé</v>
      </c>
      <c r="F1275" s="30"/>
      <c r="G1275" s="31"/>
      <c r="H1275" s="13">
        <v>0</v>
      </c>
      <c r="I1275" s="13">
        <v>0</v>
      </c>
      <c r="J1275" s="30"/>
      <c r="K1275" s="37"/>
    </row>
    <row r="1276" spans="3:11" ht="15.5" thickTop="1" thickBot="1" x14ac:dyDescent="0.4">
      <c r="C1276" s="29"/>
      <c r="D1276" s="30"/>
      <c r="E1276" s="106" t="str">
        <f>IFERROR(VLOOKUP($D1276,NUMDIST[],2,FALSE),"DA Non trouvéé")</f>
        <v>DA Non trouvéé</v>
      </c>
      <c r="F1276" s="30"/>
      <c r="G1276" s="31"/>
      <c r="H1276" s="13">
        <v>0</v>
      </c>
      <c r="I1276" s="13">
        <v>0</v>
      </c>
      <c r="J1276" s="30"/>
      <c r="K1276" s="37"/>
    </row>
    <row r="1277" spans="3:11" ht="15.5" thickTop="1" thickBot="1" x14ac:dyDescent="0.4">
      <c r="C1277" s="29"/>
      <c r="D1277" s="30"/>
      <c r="E1277" s="106" t="str">
        <f>IFERROR(VLOOKUP($D1277,NUMDIST[],2,FALSE),"DA Non trouvéé")</f>
        <v>DA Non trouvéé</v>
      </c>
      <c r="F1277" s="30"/>
      <c r="G1277" s="31"/>
      <c r="H1277" s="13">
        <v>0</v>
      </c>
      <c r="I1277" s="13">
        <v>0</v>
      </c>
      <c r="J1277" s="30"/>
      <c r="K1277" s="37"/>
    </row>
    <row r="1278" spans="3:11" ht="15.5" thickTop="1" thickBot="1" x14ac:dyDescent="0.4">
      <c r="C1278" s="29"/>
      <c r="D1278" s="30"/>
      <c r="E1278" s="106" t="str">
        <f>IFERROR(VLOOKUP($D1278,NUMDIST[],2,FALSE),"DA Non trouvéé")</f>
        <v>DA Non trouvéé</v>
      </c>
      <c r="F1278" s="30"/>
      <c r="G1278" s="31"/>
      <c r="H1278" s="13">
        <v>0</v>
      </c>
      <c r="I1278" s="13">
        <v>0</v>
      </c>
      <c r="J1278" s="30"/>
      <c r="K1278" s="37"/>
    </row>
    <row r="1279" spans="3:11" ht="15.5" thickTop="1" thickBot="1" x14ac:dyDescent="0.4">
      <c r="C1279" s="29"/>
      <c r="D1279" s="30"/>
      <c r="E1279" s="106" t="str">
        <f>IFERROR(VLOOKUP($D1279,NUMDIST[],2,FALSE),"DA Non trouvéé")</f>
        <v>DA Non trouvéé</v>
      </c>
      <c r="F1279" s="30"/>
      <c r="G1279" s="31"/>
      <c r="H1279" s="13">
        <v>0</v>
      </c>
      <c r="I1279" s="13">
        <v>0</v>
      </c>
      <c r="J1279" s="30"/>
      <c r="K1279" s="37"/>
    </row>
    <row r="1280" spans="3:11" ht="15.5" thickTop="1" thickBot="1" x14ac:dyDescent="0.4">
      <c r="C1280" s="29"/>
      <c r="D1280" s="30"/>
      <c r="E1280" s="106" t="str">
        <f>IFERROR(VLOOKUP($D1280,NUMDIST[],2,FALSE),"DA Non trouvéé")</f>
        <v>DA Non trouvéé</v>
      </c>
      <c r="F1280" s="30"/>
      <c r="G1280" s="31"/>
      <c r="H1280" s="13">
        <v>0</v>
      </c>
      <c r="I1280" s="13">
        <v>0</v>
      </c>
      <c r="J1280" s="30"/>
      <c r="K1280" s="37"/>
    </row>
    <row r="1281" spans="3:11" ht="15.5" thickTop="1" thickBot="1" x14ac:dyDescent="0.4">
      <c r="C1281" s="29"/>
      <c r="D1281" s="30"/>
      <c r="E1281" s="106" t="str">
        <f>IFERROR(VLOOKUP($D1281,NUMDIST[],2,FALSE),"DA Non trouvéé")</f>
        <v>DA Non trouvéé</v>
      </c>
      <c r="F1281" s="30"/>
      <c r="G1281" s="31"/>
      <c r="H1281" s="13">
        <v>0</v>
      </c>
      <c r="I1281" s="13">
        <v>0</v>
      </c>
      <c r="J1281" s="30"/>
      <c r="K1281" s="37"/>
    </row>
    <row r="1282" spans="3:11" ht="15.5" thickTop="1" thickBot="1" x14ac:dyDescent="0.4">
      <c r="C1282" s="29"/>
      <c r="D1282" s="30"/>
      <c r="E1282" s="106" t="str">
        <f>IFERROR(VLOOKUP($D1282,NUMDIST[],2,FALSE),"DA Non trouvéé")</f>
        <v>DA Non trouvéé</v>
      </c>
      <c r="F1282" s="30"/>
      <c r="G1282" s="31"/>
      <c r="H1282" s="13">
        <v>0</v>
      </c>
      <c r="I1282" s="13">
        <v>0</v>
      </c>
      <c r="J1282" s="30"/>
      <c r="K1282" s="37"/>
    </row>
    <row r="1283" spans="3:11" ht="15.5" thickTop="1" thickBot="1" x14ac:dyDescent="0.4">
      <c r="C1283" s="29"/>
      <c r="D1283" s="30"/>
      <c r="E1283" s="106" t="str">
        <f>IFERROR(VLOOKUP($D1283,NUMDIST[],2,FALSE),"DA Non trouvéé")</f>
        <v>DA Non trouvéé</v>
      </c>
      <c r="F1283" s="30"/>
      <c r="G1283" s="31"/>
      <c r="H1283" s="13">
        <v>0</v>
      </c>
      <c r="I1283" s="13">
        <v>0</v>
      </c>
      <c r="J1283" s="30"/>
      <c r="K1283" s="37"/>
    </row>
    <row r="1284" spans="3:11" ht="15.5" thickTop="1" thickBot="1" x14ac:dyDescent="0.4">
      <c r="C1284" s="29"/>
      <c r="D1284" s="30"/>
      <c r="E1284" s="106" t="str">
        <f>IFERROR(VLOOKUP($D1284,NUMDIST[],2,FALSE),"DA Non trouvéé")</f>
        <v>DA Non trouvéé</v>
      </c>
      <c r="F1284" s="30"/>
      <c r="G1284" s="31"/>
      <c r="H1284" s="13">
        <v>0</v>
      </c>
      <c r="I1284" s="13">
        <v>0</v>
      </c>
      <c r="J1284" s="30"/>
      <c r="K1284" s="37"/>
    </row>
    <row r="1285" spans="3:11" ht="15.5" thickTop="1" thickBot="1" x14ac:dyDescent="0.4">
      <c r="C1285" s="29"/>
      <c r="D1285" s="30"/>
      <c r="E1285" s="106" t="str">
        <f>IFERROR(VLOOKUP($D1285,NUMDIST[],2,FALSE),"DA Non trouvéé")</f>
        <v>DA Non trouvéé</v>
      </c>
      <c r="F1285" s="30"/>
      <c r="G1285" s="31"/>
      <c r="H1285" s="13">
        <v>0</v>
      </c>
      <c r="I1285" s="13">
        <v>0</v>
      </c>
      <c r="J1285" s="30"/>
      <c r="K1285" s="37"/>
    </row>
    <row r="1286" spans="3:11" ht="15.5" thickTop="1" thickBot="1" x14ac:dyDescent="0.4">
      <c r="C1286" s="29"/>
      <c r="D1286" s="30"/>
      <c r="E1286" s="106" t="str">
        <f>IFERROR(VLOOKUP($D1286,NUMDIST[],2,FALSE),"DA Non trouvéé")</f>
        <v>DA Non trouvéé</v>
      </c>
      <c r="F1286" s="30"/>
      <c r="G1286" s="31"/>
      <c r="H1286" s="13">
        <v>0</v>
      </c>
      <c r="I1286" s="13">
        <v>0</v>
      </c>
      <c r="J1286" s="30"/>
      <c r="K1286" s="37"/>
    </row>
    <row r="1287" spans="3:11" ht="15.5" thickTop="1" thickBot="1" x14ac:dyDescent="0.4">
      <c r="C1287" s="29"/>
      <c r="D1287" s="30"/>
      <c r="E1287" s="106" t="str">
        <f>IFERROR(VLOOKUP($D1287,NUMDIST[],2,FALSE),"DA Non trouvéé")</f>
        <v>DA Non trouvéé</v>
      </c>
      <c r="F1287" s="30"/>
      <c r="G1287" s="31"/>
      <c r="H1287" s="13">
        <v>0</v>
      </c>
      <c r="I1287" s="13">
        <v>0</v>
      </c>
      <c r="J1287" s="30"/>
      <c r="K1287" s="37"/>
    </row>
    <row r="1288" spans="3:11" ht="15.5" thickTop="1" thickBot="1" x14ac:dyDescent="0.4">
      <c r="C1288" s="29"/>
      <c r="D1288" s="30"/>
      <c r="E1288" s="106" t="str">
        <f>IFERROR(VLOOKUP($D1288,NUMDIST[],2,FALSE),"DA Non trouvéé")</f>
        <v>DA Non trouvéé</v>
      </c>
      <c r="F1288" s="30"/>
      <c r="G1288" s="31"/>
      <c r="H1288" s="13">
        <v>0</v>
      </c>
      <c r="I1288" s="13">
        <v>0</v>
      </c>
      <c r="J1288" s="30"/>
      <c r="K1288" s="37"/>
    </row>
    <row r="1289" spans="3:11" ht="15.5" thickTop="1" thickBot="1" x14ac:dyDescent="0.4">
      <c r="C1289" s="29"/>
      <c r="D1289" s="30"/>
      <c r="E1289" s="106" t="str">
        <f>IFERROR(VLOOKUP($D1289,NUMDIST[],2,FALSE),"DA Non trouvéé")</f>
        <v>DA Non trouvéé</v>
      </c>
      <c r="F1289" s="30"/>
      <c r="G1289" s="31"/>
      <c r="H1289" s="13">
        <v>0</v>
      </c>
      <c r="I1289" s="13">
        <v>0</v>
      </c>
      <c r="J1289" s="30"/>
      <c r="K1289" s="37"/>
    </row>
    <row r="1290" spans="3:11" ht="15.5" thickTop="1" thickBot="1" x14ac:dyDescent="0.4">
      <c r="C1290" s="29"/>
      <c r="D1290" s="30"/>
      <c r="E1290" s="106" t="str">
        <f>IFERROR(VLOOKUP($D1290,NUMDIST[],2,FALSE),"DA Non trouvéé")</f>
        <v>DA Non trouvéé</v>
      </c>
      <c r="F1290" s="30"/>
      <c r="G1290" s="31"/>
      <c r="H1290" s="13">
        <v>0</v>
      </c>
      <c r="I1290" s="13">
        <v>0</v>
      </c>
      <c r="J1290" s="30"/>
      <c r="K1290" s="37"/>
    </row>
    <row r="1291" spans="3:11" ht="15.5" thickTop="1" thickBot="1" x14ac:dyDescent="0.4">
      <c r="C1291" s="29"/>
      <c r="D1291" s="30"/>
      <c r="E1291" s="106" t="str">
        <f>IFERROR(VLOOKUP($D1291,NUMDIST[],2,FALSE),"DA Non trouvéé")</f>
        <v>DA Non trouvéé</v>
      </c>
      <c r="F1291" s="30"/>
      <c r="G1291" s="31"/>
      <c r="H1291" s="13">
        <v>0</v>
      </c>
      <c r="I1291" s="13">
        <v>0</v>
      </c>
      <c r="J1291" s="30"/>
      <c r="K1291" s="37"/>
    </row>
    <row r="1292" spans="3:11" ht="15.5" thickTop="1" thickBot="1" x14ac:dyDescent="0.4">
      <c r="C1292" s="29"/>
      <c r="D1292" s="30"/>
      <c r="E1292" s="106" t="str">
        <f>IFERROR(VLOOKUP($D1292,NUMDIST[],2,FALSE),"DA Non trouvéé")</f>
        <v>DA Non trouvéé</v>
      </c>
      <c r="F1292" s="30"/>
      <c r="G1292" s="31"/>
      <c r="H1292" s="13">
        <v>0</v>
      </c>
      <c r="I1292" s="13">
        <v>0</v>
      </c>
      <c r="J1292" s="30"/>
      <c r="K1292" s="37"/>
    </row>
    <row r="1293" spans="3:11" ht="15.5" thickTop="1" thickBot="1" x14ac:dyDescent="0.4">
      <c r="C1293" s="29"/>
      <c r="D1293" s="30"/>
      <c r="E1293" s="106" t="str">
        <f>IFERROR(VLOOKUP($D1293,NUMDIST[],2,FALSE),"DA Non trouvéé")</f>
        <v>DA Non trouvéé</v>
      </c>
      <c r="F1293" s="30"/>
      <c r="G1293" s="31"/>
      <c r="H1293" s="13">
        <v>0</v>
      </c>
      <c r="I1293" s="13">
        <v>0</v>
      </c>
      <c r="J1293" s="30"/>
      <c r="K1293" s="37"/>
    </row>
    <row r="1294" spans="3:11" ht="15.5" thickTop="1" thickBot="1" x14ac:dyDescent="0.4">
      <c r="C1294" s="29"/>
      <c r="D1294" s="30"/>
      <c r="E1294" s="106" t="str">
        <f>IFERROR(VLOOKUP($D1294,NUMDIST[],2,FALSE),"DA Non trouvéé")</f>
        <v>DA Non trouvéé</v>
      </c>
      <c r="F1294" s="30"/>
      <c r="G1294" s="31"/>
      <c r="H1294" s="13">
        <v>0</v>
      </c>
      <c r="I1294" s="13">
        <v>0</v>
      </c>
      <c r="J1294" s="30"/>
      <c r="K1294" s="37"/>
    </row>
    <row r="1295" spans="3:11" ht="15.5" thickTop="1" thickBot="1" x14ac:dyDescent="0.4">
      <c r="C1295" s="29"/>
      <c r="D1295" s="30"/>
      <c r="E1295" s="106" t="str">
        <f>IFERROR(VLOOKUP($D1295,NUMDIST[],2,FALSE),"DA Non trouvéé")</f>
        <v>DA Non trouvéé</v>
      </c>
      <c r="F1295" s="30"/>
      <c r="G1295" s="31"/>
      <c r="H1295" s="13">
        <v>0</v>
      </c>
      <c r="I1295" s="13">
        <v>0</v>
      </c>
      <c r="J1295" s="30"/>
      <c r="K1295" s="37"/>
    </row>
    <row r="1296" spans="3:11" ht="15.5" thickTop="1" thickBot="1" x14ac:dyDescent="0.4">
      <c r="C1296" s="29"/>
      <c r="D1296" s="30"/>
      <c r="E1296" s="106" t="str">
        <f>IFERROR(VLOOKUP($D1296,NUMDIST[],2,FALSE),"DA Non trouvéé")</f>
        <v>DA Non trouvéé</v>
      </c>
      <c r="F1296" s="30"/>
      <c r="G1296" s="31"/>
      <c r="H1296" s="13">
        <v>0</v>
      </c>
      <c r="I1296" s="13">
        <v>0</v>
      </c>
      <c r="J1296" s="30"/>
      <c r="K1296" s="37"/>
    </row>
    <row r="1297" spans="3:11" ht="15.5" thickTop="1" thickBot="1" x14ac:dyDescent="0.4">
      <c r="C1297" s="29"/>
      <c r="D1297" s="30"/>
      <c r="E1297" s="106" t="str">
        <f>IFERROR(VLOOKUP($D1297,NUMDIST[],2,FALSE),"DA Non trouvéé")</f>
        <v>DA Non trouvéé</v>
      </c>
      <c r="F1297" s="30"/>
      <c r="G1297" s="31"/>
      <c r="H1297" s="13">
        <v>0</v>
      </c>
      <c r="I1297" s="13">
        <v>0</v>
      </c>
      <c r="J1297" s="30"/>
      <c r="K1297" s="37"/>
    </row>
    <row r="1298" spans="3:11" ht="15.5" thickTop="1" thickBot="1" x14ac:dyDescent="0.4">
      <c r="C1298" s="29"/>
      <c r="D1298" s="30"/>
      <c r="E1298" s="106" t="str">
        <f>IFERROR(VLOOKUP($D1298,NUMDIST[],2,FALSE),"DA Non trouvéé")</f>
        <v>DA Non trouvéé</v>
      </c>
      <c r="F1298" s="30"/>
      <c r="G1298" s="31"/>
      <c r="H1298" s="13">
        <v>0</v>
      </c>
      <c r="I1298" s="13">
        <v>0</v>
      </c>
      <c r="J1298" s="30"/>
      <c r="K1298" s="37"/>
    </row>
    <row r="1299" spans="3:11" ht="15.5" thickTop="1" thickBot="1" x14ac:dyDescent="0.4">
      <c r="C1299" s="29"/>
      <c r="D1299" s="30"/>
      <c r="E1299" s="106" t="str">
        <f>IFERROR(VLOOKUP($D1299,NUMDIST[],2,FALSE),"DA Non trouvéé")</f>
        <v>DA Non trouvéé</v>
      </c>
      <c r="F1299" s="30"/>
      <c r="G1299" s="31"/>
      <c r="H1299" s="13">
        <v>0</v>
      </c>
      <c r="I1299" s="13">
        <v>0</v>
      </c>
      <c r="J1299" s="30"/>
      <c r="K1299" s="37"/>
    </row>
    <row r="1300" spans="3:11" ht="15.5" thickTop="1" thickBot="1" x14ac:dyDescent="0.4">
      <c r="C1300" s="29"/>
      <c r="D1300" s="30"/>
      <c r="E1300" s="106" t="str">
        <f>IFERROR(VLOOKUP($D1300,NUMDIST[],2,FALSE),"DA Non trouvéé")</f>
        <v>DA Non trouvéé</v>
      </c>
      <c r="F1300" s="30"/>
      <c r="G1300" s="31"/>
      <c r="H1300" s="13">
        <v>0</v>
      </c>
      <c r="I1300" s="13">
        <v>0</v>
      </c>
      <c r="J1300" s="30"/>
      <c r="K1300" s="37"/>
    </row>
    <row r="1301" spans="3:11" ht="15.5" thickTop="1" thickBot="1" x14ac:dyDescent="0.4">
      <c r="C1301" s="29"/>
      <c r="D1301" s="30"/>
      <c r="E1301" s="106" t="str">
        <f>IFERROR(VLOOKUP($D1301,NUMDIST[],2,FALSE),"DA Non trouvéé")</f>
        <v>DA Non trouvéé</v>
      </c>
      <c r="F1301" s="30"/>
      <c r="G1301" s="31"/>
      <c r="H1301" s="13">
        <v>0</v>
      </c>
      <c r="I1301" s="13">
        <v>0</v>
      </c>
      <c r="J1301" s="30"/>
      <c r="K1301" s="37"/>
    </row>
    <row r="1302" spans="3:11" ht="15.5" thickTop="1" thickBot="1" x14ac:dyDescent="0.4">
      <c r="C1302" s="29"/>
      <c r="D1302" s="30"/>
      <c r="E1302" s="106" t="str">
        <f>IFERROR(VLOOKUP($D1302,NUMDIST[],2,FALSE),"DA Non trouvéé")</f>
        <v>DA Non trouvéé</v>
      </c>
      <c r="F1302" s="30"/>
      <c r="G1302" s="31"/>
      <c r="H1302" s="13">
        <v>0</v>
      </c>
      <c r="I1302" s="13">
        <v>0</v>
      </c>
      <c r="J1302" s="30"/>
      <c r="K1302" s="37"/>
    </row>
    <row r="1303" spans="3:11" ht="15.5" thickTop="1" thickBot="1" x14ac:dyDescent="0.4">
      <c r="C1303" s="29"/>
      <c r="D1303" s="30"/>
      <c r="E1303" s="106" t="str">
        <f>IFERROR(VLOOKUP($D1303,NUMDIST[],2,FALSE),"DA Non trouvéé")</f>
        <v>DA Non trouvéé</v>
      </c>
      <c r="F1303" s="30"/>
      <c r="G1303" s="31"/>
      <c r="H1303" s="13">
        <v>0</v>
      </c>
      <c r="I1303" s="13">
        <v>0</v>
      </c>
      <c r="J1303" s="30"/>
      <c r="K1303" s="37"/>
    </row>
    <row r="1304" spans="3:11" ht="15.5" thickTop="1" thickBot="1" x14ac:dyDescent="0.4">
      <c r="C1304" s="29"/>
      <c r="D1304" s="30"/>
      <c r="E1304" s="106" t="str">
        <f>IFERROR(VLOOKUP($D1304,NUMDIST[],2,FALSE),"DA Non trouvéé")</f>
        <v>DA Non trouvéé</v>
      </c>
      <c r="F1304" s="30"/>
      <c r="G1304" s="31"/>
      <c r="H1304" s="13">
        <v>0</v>
      </c>
      <c r="I1304" s="13">
        <v>0</v>
      </c>
      <c r="J1304" s="30"/>
      <c r="K1304" s="37"/>
    </row>
    <row r="1305" spans="3:11" ht="15.5" thickTop="1" thickBot="1" x14ac:dyDescent="0.4">
      <c r="C1305" s="29"/>
      <c r="D1305" s="30"/>
      <c r="E1305" s="106" t="str">
        <f>IFERROR(VLOOKUP($D1305,NUMDIST[],2,FALSE),"DA Non trouvéé")</f>
        <v>DA Non trouvéé</v>
      </c>
      <c r="F1305" s="30"/>
      <c r="G1305" s="31"/>
      <c r="H1305" s="13">
        <v>0</v>
      </c>
      <c r="I1305" s="13">
        <v>0</v>
      </c>
      <c r="J1305" s="30"/>
      <c r="K1305" s="37"/>
    </row>
    <row r="1306" spans="3:11" ht="15.5" thickTop="1" thickBot="1" x14ac:dyDescent="0.4">
      <c r="C1306" s="29"/>
      <c r="D1306" s="30"/>
      <c r="E1306" s="106" t="str">
        <f>IFERROR(VLOOKUP($D1306,NUMDIST[],2,FALSE),"DA Non trouvéé")</f>
        <v>DA Non trouvéé</v>
      </c>
      <c r="F1306" s="30"/>
      <c r="G1306" s="31"/>
      <c r="H1306" s="13">
        <v>0</v>
      </c>
      <c r="I1306" s="13">
        <v>0</v>
      </c>
      <c r="J1306" s="30"/>
      <c r="K1306" s="37"/>
    </row>
    <row r="1307" spans="3:11" ht="15.5" thickTop="1" thickBot="1" x14ac:dyDescent="0.4">
      <c r="C1307" s="29"/>
      <c r="D1307" s="30"/>
      <c r="E1307" s="106" t="str">
        <f>IFERROR(VLOOKUP($D1307,NUMDIST[],2,FALSE),"DA Non trouvéé")</f>
        <v>DA Non trouvéé</v>
      </c>
      <c r="F1307" s="30"/>
      <c r="G1307" s="31"/>
      <c r="H1307" s="13">
        <v>0</v>
      </c>
      <c r="I1307" s="13">
        <v>0</v>
      </c>
      <c r="J1307" s="30"/>
      <c r="K1307" s="37"/>
    </row>
    <row r="1308" spans="3:11" ht="15.5" thickTop="1" thickBot="1" x14ac:dyDescent="0.4">
      <c r="C1308" s="29"/>
      <c r="D1308" s="30"/>
      <c r="E1308" s="106" t="str">
        <f>IFERROR(VLOOKUP($D1308,NUMDIST[],2,FALSE),"DA Non trouvéé")</f>
        <v>DA Non trouvéé</v>
      </c>
      <c r="F1308" s="30"/>
      <c r="G1308" s="31"/>
      <c r="H1308" s="13">
        <v>0</v>
      </c>
      <c r="I1308" s="13">
        <v>0</v>
      </c>
      <c r="J1308" s="30"/>
      <c r="K1308" s="37"/>
    </row>
    <row r="1309" spans="3:11" ht="15.5" thickTop="1" thickBot="1" x14ac:dyDescent="0.4">
      <c r="C1309" s="29"/>
      <c r="D1309" s="30"/>
      <c r="E1309" s="106" t="str">
        <f>IFERROR(VLOOKUP($D1309,NUMDIST[],2,FALSE),"DA Non trouvéé")</f>
        <v>DA Non trouvéé</v>
      </c>
      <c r="F1309" s="30"/>
      <c r="G1309" s="31"/>
      <c r="H1309" s="13">
        <v>0</v>
      </c>
      <c r="I1309" s="13">
        <v>0</v>
      </c>
      <c r="J1309" s="30"/>
      <c r="K1309" s="37"/>
    </row>
    <row r="1310" spans="3:11" ht="15.5" thickTop="1" thickBot="1" x14ac:dyDescent="0.4">
      <c r="C1310" s="29"/>
      <c r="D1310" s="30"/>
      <c r="E1310" s="106" t="str">
        <f>IFERROR(VLOOKUP($D1310,NUMDIST[],2,FALSE),"DA Non trouvéé")</f>
        <v>DA Non trouvéé</v>
      </c>
      <c r="F1310" s="30"/>
      <c r="G1310" s="31"/>
      <c r="H1310" s="13">
        <v>0</v>
      </c>
      <c r="I1310" s="13">
        <v>0</v>
      </c>
      <c r="J1310" s="30"/>
      <c r="K1310" s="37"/>
    </row>
    <row r="1311" spans="3:11" ht="15.5" thickTop="1" thickBot="1" x14ac:dyDescent="0.4">
      <c r="C1311" s="29"/>
      <c r="D1311" s="30"/>
      <c r="E1311" s="106" t="str">
        <f>IFERROR(VLOOKUP($D1311,NUMDIST[],2,FALSE),"DA Non trouvéé")</f>
        <v>DA Non trouvéé</v>
      </c>
      <c r="F1311" s="30"/>
      <c r="G1311" s="31"/>
      <c r="H1311" s="13">
        <v>0</v>
      </c>
      <c r="I1311" s="13">
        <v>0</v>
      </c>
      <c r="J1311" s="30"/>
      <c r="K1311" s="37"/>
    </row>
    <row r="1312" spans="3:11" ht="15.5" thickTop="1" thickBot="1" x14ac:dyDescent="0.4">
      <c r="C1312" s="29"/>
      <c r="D1312" s="30"/>
      <c r="E1312" s="106" t="str">
        <f>IFERROR(VLOOKUP($D1312,NUMDIST[],2,FALSE),"DA Non trouvéé")</f>
        <v>DA Non trouvéé</v>
      </c>
      <c r="F1312" s="30"/>
      <c r="G1312" s="31"/>
      <c r="H1312" s="13">
        <v>0</v>
      </c>
      <c r="I1312" s="13">
        <v>0</v>
      </c>
      <c r="J1312" s="30"/>
      <c r="K1312" s="37"/>
    </row>
    <row r="1313" spans="3:11" ht="15.5" thickTop="1" thickBot="1" x14ac:dyDescent="0.4">
      <c r="C1313" s="29"/>
      <c r="D1313" s="30"/>
      <c r="E1313" s="106" t="str">
        <f>IFERROR(VLOOKUP($D1313,NUMDIST[],2,FALSE),"DA Non trouvéé")</f>
        <v>DA Non trouvéé</v>
      </c>
      <c r="F1313" s="30"/>
      <c r="G1313" s="31"/>
      <c r="H1313" s="13">
        <v>0</v>
      </c>
      <c r="I1313" s="13">
        <v>0</v>
      </c>
      <c r="J1313" s="30"/>
      <c r="K1313" s="37"/>
    </row>
    <row r="1314" spans="3:11" ht="15.5" thickTop="1" thickBot="1" x14ac:dyDescent="0.4">
      <c r="C1314" s="29"/>
      <c r="D1314" s="30"/>
      <c r="E1314" s="106" t="str">
        <f>IFERROR(VLOOKUP($D1314,NUMDIST[],2,FALSE),"DA Non trouvéé")</f>
        <v>DA Non trouvéé</v>
      </c>
      <c r="F1314" s="30"/>
      <c r="G1314" s="31"/>
      <c r="H1314" s="13">
        <v>0</v>
      </c>
      <c r="I1314" s="13">
        <v>0</v>
      </c>
      <c r="J1314" s="30"/>
      <c r="K1314" s="37"/>
    </row>
    <row r="1315" spans="3:11" ht="15.5" thickTop="1" thickBot="1" x14ac:dyDescent="0.4">
      <c r="C1315" s="29"/>
      <c r="D1315" s="30"/>
      <c r="E1315" s="106" t="str">
        <f>IFERROR(VLOOKUP($D1315,NUMDIST[],2,FALSE),"DA Non trouvéé")</f>
        <v>DA Non trouvéé</v>
      </c>
      <c r="F1315" s="30"/>
      <c r="G1315" s="31"/>
      <c r="H1315" s="13">
        <v>0</v>
      </c>
      <c r="I1315" s="13">
        <v>0</v>
      </c>
      <c r="J1315" s="30"/>
      <c r="K1315" s="37"/>
    </row>
    <row r="1316" spans="3:11" ht="15.5" thickTop="1" thickBot="1" x14ac:dyDescent="0.4">
      <c r="C1316" s="29"/>
      <c r="D1316" s="30"/>
      <c r="E1316" s="106" t="str">
        <f>IFERROR(VLOOKUP($D1316,NUMDIST[],2,FALSE),"DA Non trouvéé")</f>
        <v>DA Non trouvéé</v>
      </c>
      <c r="F1316" s="30"/>
      <c r="G1316" s="31"/>
      <c r="H1316" s="13">
        <v>0</v>
      </c>
      <c r="I1316" s="13">
        <v>0</v>
      </c>
      <c r="J1316" s="30"/>
      <c r="K1316" s="37"/>
    </row>
    <row r="1317" spans="3:11" ht="15.5" thickTop="1" thickBot="1" x14ac:dyDescent="0.4">
      <c r="C1317" s="29"/>
      <c r="D1317" s="30"/>
      <c r="E1317" s="106" t="str">
        <f>IFERROR(VLOOKUP($D1317,NUMDIST[],2,FALSE),"DA Non trouvéé")</f>
        <v>DA Non trouvéé</v>
      </c>
      <c r="F1317" s="30"/>
      <c r="G1317" s="31"/>
      <c r="H1317" s="13">
        <v>0</v>
      </c>
      <c r="I1317" s="13">
        <v>0</v>
      </c>
      <c r="J1317" s="30"/>
      <c r="K1317" s="37"/>
    </row>
    <row r="1318" spans="3:11" ht="15.5" thickTop="1" thickBot="1" x14ac:dyDescent="0.4">
      <c r="C1318" s="29"/>
      <c r="D1318" s="30"/>
      <c r="E1318" s="106" t="str">
        <f>IFERROR(VLOOKUP($D1318,NUMDIST[],2,FALSE),"DA Non trouvéé")</f>
        <v>DA Non trouvéé</v>
      </c>
      <c r="F1318" s="30"/>
      <c r="G1318" s="31"/>
      <c r="H1318" s="13">
        <v>0</v>
      </c>
      <c r="I1318" s="13">
        <v>0</v>
      </c>
      <c r="J1318" s="30"/>
      <c r="K1318" s="37"/>
    </row>
    <row r="1319" spans="3:11" ht="15.5" thickTop="1" thickBot="1" x14ac:dyDescent="0.4">
      <c r="C1319" s="29"/>
      <c r="D1319" s="30"/>
      <c r="E1319" s="106" t="str">
        <f>IFERROR(VLOOKUP($D1319,NUMDIST[],2,FALSE),"DA Non trouvéé")</f>
        <v>DA Non trouvéé</v>
      </c>
      <c r="F1319" s="30"/>
      <c r="G1319" s="31"/>
      <c r="H1319" s="13">
        <v>0</v>
      </c>
      <c r="I1319" s="13">
        <v>0</v>
      </c>
      <c r="J1319" s="30"/>
      <c r="K1319" s="37"/>
    </row>
    <row r="1320" spans="3:11" ht="15.5" thickTop="1" thickBot="1" x14ac:dyDescent="0.4">
      <c r="C1320" s="29"/>
      <c r="D1320" s="30"/>
      <c r="E1320" s="106" t="str">
        <f>IFERROR(VLOOKUP($D1320,NUMDIST[],2,FALSE),"DA Non trouvéé")</f>
        <v>DA Non trouvéé</v>
      </c>
      <c r="F1320" s="30"/>
      <c r="G1320" s="31"/>
      <c r="H1320" s="13">
        <v>0</v>
      </c>
      <c r="I1320" s="13">
        <v>0</v>
      </c>
      <c r="J1320" s="30"/>
      <c r="K1320" s="37"/>
    </row>
    <row r="1321" spans="3:11" ht="15.5" thickTop="1" thickBot="1" x14ac:dyDescent="0.4">
      <c r="C1321" s="29"/>
      <c r="D1321" s="30"/>
      <c r="E1321" s="106" t="str">
        <f>IFERROR(VLOOKUP($D1321,NUMDIST[],2,FALSE),"DA Non trouvéé")</f>
        <v>DA Non trouvéé</v>
      </c>
      <c r="F1321" s="30"/>
      <c r="G1321" s="31"/>
      <c r="H1321" s="13">
        <v>0</v>
      </c>
      <c r="I1321" s="13">
        <v>0</v>
      </c>
      <c r="J1321" s="30"/>
      <c r="K1321" s="37"/>
    </row>
    <row r="1322" spans="3:11" ht="15.5" thickTop="1" thickBot="1" x14ac:dyDescent="0.4">
      <c r="C1322" s="29"/>
      <c r="D1322" s="30"/>
      <c r="E1322" s="106" t="str">
        <f>IFERROR(VLOOKUP($D1322,NUMDIST[],2,FALSE),"DA Non trouvéé")</f>
        <v>DA Non trouvéé</v>
      </c>
      <c r="F1322" s="30"/>
      <c r="G1322" s="31"/>
      <c r="H1322" s="13">
        <v>0</v>
      </c>
      <c r="I1322" s="13">
        <v>0</v>
      </c>
      <c r="J1322" s="30"/>
      <c r="K1322" s="37"/>
    </row>
    <row r="1323" spans="3:11" ht="15.5" thickTop="1" thickBot="1" x14ac:dyDescent="0.4">
      <c r="C1323" s="29"/>
      <c r="D1323" s="30"/>
      <c r="E1323" s="106" t="str">
        <f>IFERROR(VLOOKUP($D1323,NUMDIST[],2,FALSE),"DA Non trouvéé")</f>
        <v>DA Non trouvéé</v>
      </c>
      <c r="F1323" s="30"/>
      <c r="G1323" s="31"/>
      <c r="H1323" s="13">
        <v>0</v>
      </c>
      <c r="I1323" s="13">
        <v>0</v>
      </c>
      <c r="J1323" s="30"/>
      <c r="K1323" s="37"/>
    </row>
    <row r="1324" spans="3:11" ht="15.5" thickTop="1" thickBot="1" x14ac:dyDescent="0.4">
      <c r="C1324" s="29"/>
      <c r="D1324" s="30"/>
      <c r="E1324" s="106" t="str">
        <f>IFERROR(VLOOKUP($D1324,NUMDIST[],2,FALSE),"DA Non trouvéé")</f>
        <v>DA Non trouvéé</v>
      </c>
      <c r="F1324" s="30"/>
      <c r="G1324" s="31"/>
      <c r="H1324" s="13">
        <v>0</v>
      </c>
      <c r="I1324" s="13">
        <v>0</v>
      </c>
      <c r="J1324" s="30"/>
      <c r="K1324" s="37"/>
    </row>
    <row r="1325" spans="3:11" ht="15.5" thickTop="1" thickBot="1" x14ac:dyDescent="0.4">
      <c r="C1325" s="29"/>
      <c r="D1325" s="30"/>
      <c r="E1325" s="106" t="str">
        <f>IFERROR(VLOOKUP($D1325,NUMDIST[],2,FALSE),"DA Non trouvéé")</f>
        <v>DA Non trouvéé</v>
      </c>
      <c r="F1325" s="30"/>
      <c r="G1325" s="31"/>
      <c r="H1325" s="13">
        <v>0</v>
      </c>
      <c r="I1325" s="13">
        <v>0</v>
      </c>
      <c r="J1325" s="30"/>
      <c r="K1325" s="37"/>
    </row>
    <row r="1326" spans="3:11" ht="15.5" thickTop="1" thickBot="1" x14ac:dyDescent="0.4">
      <c r="C1326" s="29"/>
      <c r="D1326" s="30"/>
      <c r="E1326" s="106" t="str">
        <f>IFERROR(VLOOKUP($D1326,NUMDIST[],2,FALSE),"DA Non trouvéé")</f>
        <v>DA Non trouvéé</v>
      </c>
      <c r="F1326" s="30"/>
      <c r="G1326" s="31"/>
      <c r="H1326" s="13">
        <v>0</v>
      </c>
      <c r="I1326" s="13">
        <v>0</v>
      </c>
      <c r="J1326" s="30"/>
      <c r="K1326" s="37"/>
    </row>
    <row r="1327" spans="3:11" ht="15.5" thickTop="1" thickBot="1" x14ac:dyDescent="0.4">
      <c r="C1327" s="29"/>
      <c r="D1327" s="30"/>
      <c r="E1327" s="106" t="str">
        <f>IFERROR(VLOOKUP($D1327,NUMDIST[],2,FALSE),"DA Non trouvéé")</f>
        <v>DA Non trouvéé</v>
      </c>
      <c r="F1327" s="30"/>
      <c r="G1327" s="31"/>
      <c r="H1327" s="13">
        <v>0</v>
      </c>
      <c r="I1327" s="13">
        <v>0</v>
      </c>
      <c r="J1327" s="30"/>
      <c r="K1327" s="37"/>
    </row>
    <row r="1328" spans="3:11" ht="15.5" thickTop="1" thickBot="1" x14ac:dyDescent="0.4">
      <c r="C1328" s="29"/>
      <c r="D1328" s="30"/>
      <c r="E1328" s="106" t="str">
        <f>IFERROR(VLOOKUP($D1328,NUMDIST[],2,FALSE),"DA Non trouvéé")</f>
        <v>DA Non trouvéé</v>
      </c>
      <c r="F1328" s="30"/>
      <c r="G1328" s="31"/>
      <c r="H1328" s="13">
        <v>0</v>
      </c>
      <c r="I1328" s="13">
        <v>0</v>
      </c>
      <c r="J1328" s="30"/>
      <c r="K1328" s="37"/>
    </row>
    <row r="1329" spans="3:11" ht="15.5" thickTop="1" thickBot="1" x14ac:dyDescent="0.4">
      <c r="C1329" s="29"/>
      <c r="D1329" s="30"/>
      <c r="E1329" s="106" t="str">
        <f>IFERROR(VLOOKUP($D1329,NUMDIST[],2,FALSE),"DA Non trouvéé")</f>
        <v>DA Non trouvéé</v>
      </c>
      <c r="F1329" s="30"/>
      <c r="G1329" s="31"/>
      <c r="H1329" s="13">
        <v>0</v>
      </c>
      <c r="I1329" s="13">
        <v>0</v>
      </c>
      <c r="J1329" s="30"/>
      <c r="K1329" s="37"/>
    </row>
    <row r="1330" spans="3:11" ht="15.5" thickTop="1" thickBot="1" x14ac:dyDescent="0.4">
      <c r="C1330" s="29"/>
      <c r="D1330" s="30"/>
      <c r="E1330" s="106" t="str">
        <f>IFERROR(VLOOKUP($D1330,NUMDIST[],2,FALSE),"DA Non trouvéé")</f>
        <v>DA Non trouvéé</v>
      </c>
      <c r="F1330" s="30"/>
      <c r="G1330" s="31"/>
      <c r="H1330" s="13">
        <v>0</v>
      </c>
      <c r="I1330" s="13">
        <v>0</v>
      </c>
      <c r="J1330" s="30"/>
      <c r="K1330" s="37"/>
    </row>
    <row r="1331" spans="3:11" ht="15.5" thickTop="1" thickBot="1" x14ac:dyDescent="0.4">
      <c r="C1331" s="29"/>
      <c r="D1331" s="30"/>
      <c r="E1331" s="106" t="str">
        <f>IFERROR(VLOOKUP($D1331,NUMDIST[],2,FALSE),"DA Non trouvéé")</f>
        <v>DA Non trouvéé</v>
      </c>
      <c r="F1331" s="30"/>
      <c r="G1331" s="31"/>
      <c r="H1331" s="13">
        <v>0</v>
      </c>
      <c r="I1331" s="13">
        <v>0</v>
      </c>
      <c r="J1331" s="30"/>
      <c r="K1331" s="37"/>
    </row>
    <row r="1332" spans="3:11" ht="15.5" thickTop="1" thickBot="1" x14ac:dyDescent="0.4">
      <c r="C1332" s="29"/>
      <c r="D1332" s="30"/>
      <c r="E1332" s="106" t="str">
        <f>IFERROR(VLOOKUP($D1332,NUMDIST[],2,FALSE),"DA Non trouvéé")</f>
        <v>DA Non trouvéé</v>
      </c>
      <c r="F1332" s="30"/>
      <c r="G1332" s="31"/>
      <c r="H1332" s="13">
        <v>0</v>
      </c>
      <c r="I1332" s="13">
        <v>0</v>
      </c>
      <c r="J1332" s="30"/>
      <c r="K1332" s="37"/>
    </row>
    <row r="1333" spans="3:11" ht="15.5" thickTop="1" thickBot="1" x14ac:dyDescent="0.4">
      <c r="C1333" s="29"/>
      <c r="D1333" s="30"/>
      <c r="E1333" s="106" t="str">
        <f>IFERROR(VLOOKUP($D1333,NUMDIST[],2,FALSE),"DA Non trouvéé")</f>
        <v>DA Non trouvéé</v>
      </c>
      <c r="F1333" s="30"/>
      <c r="G1333" s="31"/>
      <c r="H1333" s="13">
        <v>0</v>
      </c>
      <c r="I1333" s="13">
        <v>0</v>
      </c>
      <c r="J1333" s="30"/>
      <c r="K1333" s="37"/>
    </row>
    <row r="1334" spans="3:11" ht="15.5" thickTop="1" thickBot="1" x14ac:dyDescent="0.4">
      <c r="C1334" s="29"/>
      <c r="D1334" s="30"/>
      <c r="E1334" s="106" t="str">
        <f>IFERROR(VLOOKUP($D1334,NUMDIST[],2,FALSE),"DA Non trouvéé")</f>
        <v>DA Non trouvéé</v>
      </c>
      <c r="F1334" s="30"/>
      <c r="G1334" s="31"/>
      <c r="H1334" s="13">
        <v>0</v>
      </c>
      <c r="I1334" s="13">
        <v>0</v>
      </c>
      <c r="J1334" s="30"/>
      <c r="K1334" s="37"/>
    </row>
    <row r="1335" spans="3:11" ht="15.5" thickTop="1" thickBot="1" x14ac:dyDescent="0.4">
      <c r="C1335" s="29"/>
      <c r="D1335" s="30"/>
      <c r="E1335" s="106" t="str">
        <f>IFERROR(VLOOKUP($D1335,NUMDIST[],2,FALSE),"DA Non trouvéé")</f>
        <v>DA Non trouvéé</v>
      </c>
      <c r="F1335" s="30"/>
      <c r="G1335" s="31"/>
      <c r="H1335" s="13">
        <v>0</v>
      </c>
      <c r="I1335" s="13">
        <v>0</v>
      </c>
      <c r="J1335" s="30"/>
      <c r="K1335" s="37"/>
    </row>
    <row r="1336" spans="3:11" ht="15.5" thickTop="1" thickBot="1" x14ac:dyDescent="0.4">
      <c r="C1336" s="29"/>
      <c r="D1336" s="30"/>
      <c r="E1336" s="106" t="str">
        <f>IFERROR(VLOOKUP($D1336,NUMDIST[],2,FALSE),"DA Non trouvéé")</f>
        <v>DA Non trouvéé</v>
      </c>
      <c r="F1336" s="30"/>
      <c r="G1336" s="31"/>
      <c r="H1336" s="13">
        <v>0</v>
      </c>
      <c r="I1336" s="13">
        <v>0</v>
      </c>
      <c r="J1336" s="30"/>
      <c r="K1336" s="37"/>
    </row>
    <row r="1337" spans="3:11" ht="15.5" thickTop="1" thickBot="1" x14ac:dyDescent="0.4">
      <c r="C1337" s="29"/>
      <c r="D1337" s="30"/>
      <c r="E1337" s="106" t="str">
        <f>IFERROR(VLOOKUP($D1337,NUMDIST[],2,FALSE),"DA Non trouvéé")</f>
        <v>DA Non trouvéé</v>
      </c>
      <c r="F1337" s="30"/>
      <c r="G1337" s="31"/>
      <c r="H1337" s="13">
        <v>0</v>
      </c>
      <c r="I1337" s="13">
        <v>0</v>
      </c>
      <c r="J1337" s="30"/>
      <c r="K1337" s="37"/>
    </row>
    <row r="1338" spans="3:11" ht="15.5" thickTop="1" thickBot="1" x14ac:dyDescent="0.4">
      <c r="C1338" s="29"/>
      <c r="D1338" s="30"/>
      <c r="E1338" s="106" t="str">
        <f>IFERROR(VLOOKUP($D1338,NUMDIST[],2,FALSE),"DA Non trouvéé")</f>
        <v>DA Non trouvéé</v>
      </c>
      <c r="F1338" s="30"/>
      <c r="G1338" s="31"/>
      <c r="H1338" s="13">
        <v>0</v>
      </c>
      <c r="I1338" s="13">
        <v>0</v>
      </c>
      <c r="J1338" s="30"/>
      <c r="K1338" s="37"/>
    </row>
    <row r="1339" spans="3:11" ht="15.5" thickTop="1" thickBot="1" x14ac:dyDescent="0.4">
      <c r="C1339" s="29"/>
      <c r="D1339" s="30"/>
      <c r="E1339" s="106" t="str">
        <f>IFERROR(VLOOKUP($D1339,NUMDIST[],2,FALSE),"DA Non trouvéé")</f>
        <v>DA Non trouvéé</v>
      </c>
      <c r="F1339" s="30"/>
      <c r="G1339" s="31"/>
      <c r="H1339" s="13">
        <v>0</v>
      </c>
      <c r="I1339" s="13">
        <v>0</v>
      </c>
      <c r="J1339" s="30"/>
      <c r="K1339" s="37"/>
    </row>
    <row r="1340" spans="3:11" ht="15.5" thickTop="1" thickBot="1" x14ac:dyDescent="0.4">
      <c r="C1340" s="29"/>
      <c r="D1340" s="30"/>
      <c r="E1340" s="106" t="str">
        <f>IFERROR(VLOOKUP($D1340,NUMDIST[],2,FALSE),"DA Non trouvéé")</f>
        <v>DA Non trouvéé</v>
      </c>
      <c r="F1340" s="30"/>
      <c r="G1340" s="31"/>
      <c r="H1340" s="13">
        <v>0</v>
      </c>
      <c r="I1340" s="13">
        <v>0</v>
      </c>
      <c r="J1340" s="30"/>
      <c r="K1340" s="37"/>
    </row>
    <row r="1341" spans="3:11" ht="15.5" thickTop="1" thickBot="1" x14ac:dyDescent="0.4">
      <c r="C1341" s="29"/>
      <c r="D1341" s="30"/>
      <c r="E1341" s="106" t="str">
        <f>IFERROR(VLOOKUP($D1341,NUMDIST[],2,FALSE),"DA Non trouvéé")</f>
        <v>DA Non trouvéé</v>
      </c>
      <c r="F1341" s="30"/>
      <c r="G1341" s="31"/>
      <c r="H1341" s="13">
        <v>0</v>
      </c>
      <c r="I1341" s="13">
        <v>0</v>
      </c>
      <c r="J1341" s="30"/>
      <c r="K1341" s="37"/>
    </row>
    <row r="1342" spans="3:11" ht="15.5" thickTop="1" thickBot="1" x14ac:dyDescent="0.4">
      <c r="C1342" s="29"/>
      <c r="D1342" s="30"/>
      <c r="E1342" s="106" t="str">
        <f>IFERROR(VLOOKUP($D1342,NUMDIST[],2,FALSE),"DA Non trouvéé")</f>
        <v>DA Non trouvéé</v>
      </c>
      <c r="F1342" s="30"/>
      <c r="G1342" s="31"/>
      <c r="H1342" s="13">
        <v>0</v>
      </c>
      <c r="I1342" s="13">
        <v>0</v>
      </c>
      <c r="J1342" s="30"/>
      <c r="K1342" s="37"/>
    </row>
    <row r="1343" spans="3:11" ht="15.5" thickTop="1" thickBot="1" x14ac:dyDescent="0.4">
      <c r="C1343" s="29"/>
      <c r="D1343" s="30"/>
      <c r="E1343" s="106" t="str">
        <f>IFERROR(VLOOKUP($D1343,NUMDIST[],2,FALSE),"DA Non trouvéé")</f>
        <v>DA Non trouvéé</v>
      </c>
      <c r="F1343" s="30"/>
      <c r="G1343" s="31"/>
      <c r="H1343" s="13">
        <v>0</v>
      </c>
      <c r="I1343" s="13">
        <v>0</v>
      </c>
      <c r="J1343" s="30"/>
      <c r="K1343" s="37"/>
    </row>
    <row r="1344" spans="3:11" ht="15.5" thickTop="1" thickBot="1" x14ac:dyDescent="0.4">
      <c r="C1344" s="29"/>
      <c r="D1344" s="30"/>
      <c r="E1344" s="106" t="str">
        <f>IFERROR(VLOOKUP($D1344,NUMDIST[],2,FALSE),"DA Non trouvéé")</f>
        <v>DA Non trouvéé</v>
      </c>
      <c r="F1344" s="30"/>
      <c r="G1344" s="31"/>
      <c r="H1344" s="13">
        <v>0</v>
      </c>
      <c r="I1344" s="13">
        <v>0</v>
      </c>
      <c r="J1344" s="30"/>
      <c r="K1344" s="37"/>
    </row>
    <row r="1345" spans="3:11" ht="15.5" thickTop="1" thickBot="1" x14ac:dyDescent="0.4">
      <c r="C1345" s="29"/>
      <c r="D1345" s="30"/>
      <c r="E1345" s="106" t="str">
        <f>IFERROR(VLOOKUP($D1345,NUMDIST[],2,FALSE),"DA Non trouvéé")</f>
        <v>DA Non trouvéé</v>
      </c>
      <c r="F1345" s="30"/>
      <c r="G1345" s="31"/>
      <c r="H1345" s="13">
        <v>0</v>
      </c>
      <c r="I1345" s="13">
        <v>0</v>
      </c>
      <c r="J1345" s="30"/>
      <c r="K1345" s="37"/>
    </row>
    <row r="1346" spans="3:11" ht="15.5" thickTop="1" thickBot="1" x14ac:dyDescent="0.4">
      <c r="C1346" s="29"/>
      <c r="D1346" s="30"/>
      <c r="E1346" s="106" t="str">
        <f>IFERROR(VLOOKUP($D1346,NUMDIST[],2,FALSE),"DA Non trouvéé")</f>
        <v>DA Non trouvéé</v>
      </c>
      <c r="F1346" s="30"/>
      <c r="G1346" s="31"/>
      <c r="H1346" s="13">
        <v>0</v>
      </c>
      <c r="I1346" s="13">
        <v>0</v>
      </c>
      <c r="J1346" s="30"/>
      <c r="K1346" s="37"/>
    </row>
    <row r="1347" spans="3:11" ht="15.5" thickTop="1" thickBot="1" x14ac:dyDescent="0.4">
      <c r="C1347" s="29"/>
      <c r="D1347" s="30"/>
      <c r="E1347" s="106" t="str">
        <f>IFERROR(VLOOKUP($D1347,NUMDIST[],2,FALSE),"DA Non trouvéé")</f>
        <v>DA Non trouvéé</v>
      </c>
      <c r="F1347" s="30"/>
      <c r="G1347" s="31"/>
      <c r="H1347" s="13">
        <v>0</v>
      </c>
      <c r="I1347" s="13">
        <v>0</v>
      </c>
      <c r="J1347" s="30"/>
      <c r="K1347" s="37"/>
    </row>
    <row r="1348" spans="3:11" ht="15.5" thickTop="1" thickBot="1" x14ac:dyDescent="0.4">
      <c r="C1348" s="29"/>
      <c r="D1348" s="30"/>
      <c r="E1348" s="106" t="str">
        <f>IFERROR(VLOOKUP($D1348,NUMDIST[],2,FALSE),"DA Non trouvéé")</f>
        <v>DA Non trouvéé</v>
      </c>
      <c r="F1348" s="30"/>
      <c r="G1348" s="31"/>
      <c r="H1348" s="13">
        <v>0</v>
      </c>
      <c r="I1348" s="13">
        <v>0</v>
      </c>
      <c r="J1348" s="30"/>
      <c r="K1348" s="37"/>
    </row>
    <row r="1349" spans="3:11" ht="15.5" thickTop="1" thickBot="1" x14ac:dyDescent="0.4">
      <c r="C1349" s="29"/>
      <c r="D1349" s="30"/>
      <c r="E1349" s="106" t="str">
        <f>IFERROR(VLOOKUP($D1349,NUMDIST[],2,FALSE),"DA Non trouvéé")</f>
        <v>DA Non trouvéé</v>
      </c>
      <c r="F1349" s="30"/>
      <c r="G1349" s="31"/>
      <c r="H1349" s="13">
        <v>0</v>
      </c>
      <c r="I1349" s="13">
        <v>0</v>
      </c>
      <c r="J1349" s="30"/>
      <c r="K1349" s="37"/>
    </row>
    <row r="1350" spans="3:11" ht="15.5" thickTop="1" thickBot="1" x14ac:dyDescent="0.4">
      <c r="C1350" s="29"/>
      <c r="D1350" s="30"/>
      <c r="E1350" s="106" t="str">
        <f>IFERROR(VLOOKUP($D1350,NUMDIST[],2,FALSE),"DA Non trouvéé")</f>
        <v>DA Non trouvéé</v>
      </c>
      <c r="F1350" s="30"/>
      <c r="G1350" s="31"/>
      <c r="H1350" s="13">
        <v>0</v>
      </c>
      <c r="I1350" s="13">
        <v>0</v>
      </c>
      <c r="J1350" s="30"/>
      <c r="K1350" s="37"/>
    </row>
    <row r="1351" spans="3:11" ht="15.5" thickTop="1" thickBot="1" x14ac:dyDescent="0.4">
      <c r="C1351" s="29"/>
      <c r="D1351" s="30"/>
      <c r="E1351" s="106" t="str">
        <f>IFERROR(VLOOKUP($D1351,NUMDIST[],2,FALSE),"DA Non trouvéé")</f>
        <v>DA Non trouvéé</v>
      </c>
      <c r="F1351" s="30"/>
      <c r="G1351" s="31"/>
      <c r="H1351" s="13">
        <v>0</v>
      </c>
      <c r="I1351" s="13">
        <v>0</v>
      </c>
      <c r="J1351" s="30"/>
      <c r="K1351" s="37"/>
    </row>
    <row r="1352" spans="3:11" ht="15.5" thickTop="1" thickBot="1" x14ac:dyDescent="0.4">
      <c r="C1352" s="29"/>
      <c r="D1352" s="30"/>
      <c r="E1352" s="106" t="str">
        <f>IFERROR(VLOOKUP($D1352,NUMDIST[],2,FALSE),"DA Non trouvéé")</f>
        <v>DA Non trouvéé</v>
      </c>
      <c r="F1352" s="30"/>
      <c r="G1352" s="31"/>
      <c r="H1352" s="13">
        <v>0</v>
      </c>
      <c r="I1352" s="13">
        <v>0</v>
      </c>
      <c r="J1352" s="30"/>
      <c r="K1352" s="37"/>
    </row>
    <row r="1353" spans="3:11" ht="15.5" thickTop="1" thickBot="1" x14ac:dyDescent="0.4">
      <c r="C1353" s="29"/>
      <c r="D1353" s="30"/>
      <c r="E1353" s="106" t="str">
        <f>IFERROR(VLOOKUP($D1353,NUMDIST[],2,FALSE),"DA Non trouvéé")</f>
        <v>DA Non trouvéé</v>
      </c>
      <c r="F1353" s="30"/>
      <c r="G1353" s="31"/>
      <c r="H1353" s="13">
        <v>0</v>
      </c>
      <c r="I1353" s="13">
        <v>0</v>
      </c>
      <c r="J1353" s="30"/>
      <c r="K1353" s="37"/>
    </row>
    <row r="1354" spans="3:11" ht="15.5" thickTop="1" thickBot="1" x14ac:dyDescent="0.4">
      <c r="C1354" s="29"/>
      <c r="D1354" s="30"/>
      <c r="E1354" s="106" t="str">
        <f>IFERROR(VLOOKUP($D1354,NUMDIST[],2,FALSE),"DA Non trouvéé")</f>
        <v>DA Non trouvéé</v>
      </c>
      <c r="F1354" s="30"/>
      <c r="G1354" s="31"/>
      <c r="H1354" s="13">
        <v>0</v>
      </c>
      <c r="I1354" s="13">
        <v>0</v>
      </c>
      <c r="J1354" s="30"/>
      <c r="K1354" s="37"/>
    </row>
    <row r="1355" spans="3:11" ht="15.5" thickTop="1" thickBot="1" x14ac:dyDescent="0.4">
      <c r="C1355" s="29"/>
      <c r="D1355" s="30"/>
      <c r="E1355" s="106" t="str">
        <f>IFERROR(VLOOKUP($D1355,NUMDIST[],2,FALSE),"DA Non trouvéé")</f>
        <v>DA Non trouvéé</v>
      </c>
      <c r="F1355" s="30"/>
      <c r="G1355" s="31"/>
      <c r="H1355" s="13">
        <v>0</v>
      </c>
      <c r="I1355" s="13">
        <v>0</v>
      </c>
      <c r="J1355" s="30"/>
      <c r="K1355" s="37"/>
    </row>
    <row r="1356" spans="3:11" ht="15.5" thickTop="1" thickBot="1" x14ac:dyDescent="0.4">
      <c r="C1356" s="29"/>
      <c r="D1356" s="30"/>
      <c r="E1356" s="106" t="str">
        <f>IFERROR(VLOOKUP($D1356,NUMDIST[],2,FALSE),"DA Non trouvéé")</f>
        <v>DA Non trouvéé</v>
      </c>
      <c r="F1356" s="30"/>
      <c r="G1356" s="31"/>
      <c r="H1356" s="13">
        <v>0</v>
      </c>
      <c r="I1356" s="13">
        <v>0</v>
      </c>
      <c r="J1356" s="30"/>
      <c r="K1356" s="37"/>
    </row>
    <row r="1357" spans="3:11" ht="15.5" thickTop="1" thickBot="1" x14ac:dyDescent="0.4">
      <c r="C1357" s="29"/>
      <c r="D1357" s="30"/>
      <c r="E1357" s="106" t="str">
        <f>IFERROR(VLOOKUP($D1357,NUMDIST[],2,FALSE),"DA Non trouvéé")</f>
        <v>DA Non trouvéé</v>
      </c>
      <c r="F1357" s="30"/>
      <c r="G1357" s="31"/>
      <c r="H1357" s="13">
        <v>0</v>
      </c>
      <c r="I1357" s="13">
        <v>0</v>
      </c>
      <c r="J1357" s="30"/>
      <c r="K1357" s="37"/>
    </row>
    <row r="1358" spans="3:11" ht="15.5" thickTop="1" thickBot="1" x14ac:dyDescent="0.4">
      <c r="C1358" s="29"/>
      <c r="D1358" s="30"/>
      <c r="E1358" s="106" t="str">
        <f>IFERROR(VLOOKUP($D1358,NUMDIST[],2,FALSE),"DA Non trouvéé")</f>
        <v>DA Non trouvéé</v>
      </c>
      <c r="F1358" s="30"/>
      <c r="G1358" s="31"/>
      <c r="H1358" s="13">
        <v>0</v>
      </c>
      <c r="I1358" s="13">
        <v>0</v>
      </c>
      <c r="J1358" s="30"/>
      <c r="K1358" s="37"/>
    </row>
    <row r="1359" spans="3:11" ht="15.5" thickTop="1" thickBot="1" x14ac:dyDescent="0.4">
      <c r="C1359" s="29"/>
      <c r="D1359" s="30"/>
      <c r="E1359" s="106" t="str">
        <f>IFERROR(VLOOKUP($D1359,NUMDIST[],2,FALSE),"DA Non trouvéé")</f>
        <v>DA Non trouvéé</v>
      </c>
      <c r="F1359" s="30"/>
      <c r="G1359" s="31"/>
      <c r="H1359" s="13">
        <v>0</v>
      </c>
      <c r="I1359" s="13">
        <v>0</v>
      </c>
      <c r="J1359" s="30"/>
      <c r="K1359" s="37"/>
    </row>
    <row r="1360" spans="3:11" ht="15.5" thickTop="1" thickBot="1" x14ac:dyDescent="0.4">
      <c r="C1360" s="29"/>
      <c r="D1360" s="30"/>
      <c r="E1360" s="106" t="str">
        <f>IFERROR(VLOOKUP($D1360,NUMDIST[],2,FALSE),"DA Non trouvéé")</f>
        <v>DA Non trouvéé</v>
      </c>
      <c r="F1360" s="30"/>
      <c r="G1360" s="31"/>
      <c r="H1360" s="13">
        <v>0</v>
      </c>
      <c r="I1360" s="13">
        <v>0</v>
      </c>
      <c r="J1360" s="30"/>
      <c r="K1360" s="37"/>
    </row>
    <row r="1361" spans="3:11" ht="15.5" thickTop="1" thickBot="1" x14ac:dyDescent="0.4">
      <c r="C1361" s="29"/>
      <c r="D1361" s="30"/>
      <c r="E1361" s="106" t="str">
        <f>IFERROR(VLOOKUP($D1361,NUMDIST[],2,FALSE),"DA Non trouvéé")</f>
        <v>DA Non trouvéé</v>
      </c>
      <c r="F1361" s="30"/>
      <c r="G1361" s="31"/>
      <c r="H1361" s="13">
        <v>0</v>
      </c>
      <c r="I1361" s="13">
        <v>0</v>
      </c>
      <c r="J1361" s="30"/>
      <c r="K1361" s="37"/>
    </row>
    <row r="1362" spans="3:11" ht="15.5" thickTop="1" thickBot="1" x14ac:dyDescent="0.4">
      <c r="C1362" s="29"/>
      <c r="D1362" s="30"/>
      <c r="E1362" s="106" t="str">
        <f>IFERROR(VLOOKUP($D1362,NUMDIST[],2,FALSE),"DA Non trouvéé")</f>
        <v>DA Non trouvéé</v>
      </c>
      <c r="F1362" s="30"/>
      <c r="G1362" s="31"/>
      <c r="H1362" s="13">
        <v>0</v>
      </c>
      <c r="I1362" s="13">
        <v>0</v>
      </c>
      <c r="J1362" s="30"/>
      <c r="K1362" s="37"/>
    </row>
    <row r="1363" spans="3:11" ht="15.5" thickTop="1" thickBot="1" x14ac:dyDescent="0.4">
      <c r="C1363" s="29"/>
      <c r="D1363" s="30"/>
      <c r="E1363" s="106" t="str">
        <f>IFERROR(VLOOKUP($D1363,NUMDIST[],2,FALSE),"DA Non trouvéé")</f>
        <v>DA Non trouvéé</v>
      </c>
      <c r="F1363" s="30"/>
      <c r="G1363" s="31"/>
      <c r="H1363" s="13">
        <v>0</v>
      </c>
      <c r="I1363" s="13">
        <v>0</v>
      </c>
      <c r="J1363" s="30"/>
      <c r="K1363" s="37"/>
    </row>
    <row r="1364" spans="3:11" ht="15.5" thickTop="1" thickBot="1" x14ac:dyDescent="0.4">
      <c r="C1364" s="29"/>
      <c r="D1364" s="30"/>
      <c r="E1364" s="106" t="str">
        <f>IFERROR(VLOOKUP($D1364,NUMDIST[],2,FALSE),"DA Non trouvéé")</f>
        <v>DA Non trouvéé</v>
      </c>
      <c r="F1364" s="30"/>
      <c r="G1364" s="31"/>
      <c r="H1364" s="13">
        <v>0</v>
      </c>
      <c r="I1364" s="13">
        <v>0</v>
      </c>
      <c r="J1364" s="30"/>
      <c r="K1364" s="37"/>
    </row>
    <row r="1365" spans="3:11" ht="15.5" thickTop="1" thickBot="1" x14ac:dyDescent="0.4">
      <c r="C1365" s="29"/>
      <c r="D1365" s="30"/>
      <c r="E1365" s="106" t="str">
        <f>IFERROR(VLOOKUP($D1365,NUMDIST[],2,FALSE),"DA Non trouvéé")</f>
        <v>DA Non trouvéé</v>
      </c>
      <c r="F1365" s="30"/>
      <c r="G1365" s="31"/>
      <c r="H1365" s="13">
        <v>0</v>
      </c>
      <c r="I1365" s="13">
        <v>0</v>
      </c>
      <c r="J1365" s="30"/>
      <c r="K1365" s="37"/>
    </row>
    <row r="1366" spans="3:11" ht="15.5" thickTop="1" thickBot="1" x14ac:dyDescent="0.4">
      <c r="C1366" s="29"/>
      <c r="D1366" s="30"/>
      <c r="E1366" s="106" t="str">
        <f>IFERROR(VLOOKUP($D1366,NUMDIST[],2,FALSE),"DA Non trouvéé")</f>
        <v>DA Non trouvéé</v>
      </c>
      <c r="F1366" s="30"/>
      <c r="G1366" s="31"/>
      <c r="H1366" s="13">
        <v>0</v>
      </c>
      <c r="I1366" s="13">
        <v>0</v>
      </c>
      <c r="J1366" s="30"/>
      <c r="K1366" s="37"/>
    </row>
    <row r="1367" spans="3:11" ht="15.5" thickTop="1" thickBot="1" x14ac:dyDescent="0.4">
      <c r="C1367" s="29"/>
      <c r="D1367" s="30"/>
      <c r="E1367" s="106" t="str">
        <f>IFERROR(VLOOKUP($D1367,NUMDIST[],2,FALSE),"DA Non trouvéé")</f>
        <v>DA Non trouvéé</v>
      </c>
      <c r="F1367" s="30"/>
      <c r="G1367" s="31"/>
      <c r="H1367" s="13">
        <v>0</v>
      </c>
      <c r="I1367" s="13">
        <v>0</v>
      </c>
      <c r="J1367" s="30"/>
      <c r="K1367" s="37"/>
    </row>
    <row r="1368" spans="3:11" ht="15.5" thickTop="1" thickBot="1" x14ac:dyDescent="0.4">
      <c r="C1368" s="29"/>
      <c r="D1368" s="30"/>
      <c r="E1368" s="106" t="str">
        <f>IFERROR(VLOOKUP($D1368,NUMDIST[],2,FALSE),"DA Non trouvéé")</f>
        <v>DA Non trouvéé</v>
      </c>
      <c r="F1368" s="30"/>
      <c r="G1368" s="31"/>
      <c r="H1368" s="13">
        <v>0</v>
      </c>
      <c r="I1368" s="13">
        <v>0</v>
      </c>
      <c r="J1368" s="30"/>
      <c r="K1368" s="37"/>
    </row>
    <row r="1369" spans="3:11" ht="15.5" thickTop="1" thickBot="1" x14ac:dyDescent="0.4">
      <c r="C1369" s="29"/>
      <c r="D1369" s="30"/>
      <c r="E1369" s="106" t="str">
        <f>IFERROR(VLOOKUP($D1369,NUMDIST[],2,FALSE),"DA Non trouvéé")</f>
        <v>DA Non trouvéé</v>
      </c>
      <c r="F1369" s="30"/>
      <c r="G1369" s="31"/>
      <c r="H1369" s="13">
        <v>0</v>
      </c>
      <c r="I1369" s="13">
        <v>0</v>
      </c>
      <c r="J1369" s="30"/>
      <c r="K1369" s="37"/>
    </row>
    <row r="1370" spans="3:11" ht="15.5" thickTop="1" thickBot="1" x14ac:dyDescent="0.4">
      <c r="C1370" s="29"/>
      <c r="D1370" s="30"/>
      <c r="E1370" s="106" t="str">
        <f>IFERROR(VLOOKUP($D1370,NUMDIST[],2,FALSE),"DA Non trouvéé")</f>
        <v>DA Non trouvéé</v>
      </c>
      <c r="F1370" s="30"/>
      <c r="G1370" s="31"/>
      <c r="H1370" s="13">
        <v>0</v>
      </c>
      <c r="I1370" s="13">
        <v>0</v>
      </c>
      <c r="J1370" s="30"/>
      <c r="K1370" s="37"/>
    </row>
    <row r="1371" spans="3:11" ht="15.5" thickTop="1" thickBot="1" x14ac:dyDescent="0.4">
      <c r="C1371" s="29"/>
      <c r="D1371" s="30"/>
      <c r="E1371" s="106" t="str">
        <f>IFERROR(VLOOKUP($D1371,NUMDIST[],2,FALSE),"DA Non trouvéé")</f>
        <v>DA Non trouvéé</v>
      </c>
      <c r="F1371" s="30"/>
      <c r="G1371" s="31"/>
      <c r="H1371" s="13">
        <v>0</v>
      </c>
      <c r="I1371" s="13">
        <v>0</v>
      </c>
      <c r="J1371" s="30"/>
      <c r="K1371" s="37"/>
    </row>
    <row r="1372" spans="3:11" ht="15.5" thickTop="1" thickBot="1" x14ac:dyDescent="0.4">
      <c r="C1372" s="29"/>
      <c r="D1372" s="30"/>
      <c r="E1372" s="106" t="str">
        <f>IFERROR(VLOOKUP($D1372,NUMDIST[],2,FALSE),"DA Non trouvéé")</f>
        <v>DA Non trouvéé</v>
      </c>
      <c r="F1372" s="30"/>
      <c r="G1372" s="31"/>
      <c r="H1372" s="13">
        <v>0</v>
      </c>
      <c r="I1372" s="13">
        <v>0</v>
      </c>
      <c r="J1372" s="30"/>
      <c r="K1372" s="37"/>
    </row>
    <row r="1373" spans="3:11" ht="15.5" thickTop="1" thickBot="1" x14ac:dyDescent="0.4">
      <c r="C1373" s="29"/>
      <c r="D1373" s="30"/>
      <c r="E1373" s="106" t="str">
        <f>IFERROR(VLOOKUP($D1373,NUMDIST[],2,FALSE),"DA Non trouvéé")</f>
        <v>DA Non trouvéé</v>
      </c>
      <c r="F1373" s="30"/>
      <c r="G1373" s="31"/>
      <c r="H1373" s="13">
        <v>0</v>
      </c>
      <c r="I1373" s="13">
        <v>0</v>
      </c>
      <c r="J1373" s="30"/>
      <c r="K1373" s="37"/>
    </row>
    <row r="1374" spans="3:11" ht="15.5" thickTop="1" thickBot="1" x14ac:dyDescent="0.4">
      <c r="C1374" s="29"/>
      <c r="D1374" s="30"/>
      <c r="E1374" s="106" t="str">
        <f>IFERROR(VLOOKUP($D1374,NUMDIST[],2,FALSE),"DA Non trouvéé")</f>
        <v>DA Non trouvéé</v>
      </c>
      <c r="F1374" s="30"/>
      <c r="G1374" s="31"/>
      <c r="H1374" s="13">
        <v>0</v>
      </c>
      <c r="I1374" s="13">
        <v>0</v>
      </c>
      <c r="J1374" s="30"/>
      <c r="K1374" s="37"/>
    </row>
    <row r="1375" spans="3:11" ht="15.5" thickTop="1" thickBot="1" x14ac:dyDescent="0.4">
      <c r="C1375" s="29"/>
      <c r="D1375" s="30"/>
      <c r="E1375" s="106" t="str">
        <f>IFERROR(VLOOKUP($D1375,NUMDIST[],2,FALSE),"DA Non trouvéé")</f>
        <v>DA Non trouvéé</v>
      </c>
      <c r="F1375" s="30"/>
      <c r="G1375" s="31"/>
      <c r="H1375" s="13">
        <v>0</v>
      </c>
      <c r="I1375" s="13">
        <v>0</v>
      </c>
      <c r="J1375" s="30"/>
      <c r="K1375" s="37"/>
    </row>
    <row r="1376" spans="3:11" ht="15.5" thickTop="1" thickBot="1" x14ac:dyDescent="0.4">
      <c r="C1376" s="29"/>
      <c r="D1376" s="30"/>
      <c r="E1376" s="106" t="str">
        <f>IFERROR(VLOOKUP($D1376,NUMDIST[],2,FALSE),"DA Non trouvéé")</f>
        <v>DA Non trouvéé</v>
      </c>
      <c r="F1376" s="30"/>
      <c r="G1376" s="31"/>
      <c r="H1376" s="13">
        <v>0</v>
      </c>
      <c r="I1376" s="13">
        <v>0</v>
      </c>
      <c r="J1376" s="30"/>
      <c r="K1376" s="37"/>
    </row>
    <row r="1377" spans="3:11" ht="15.5" thickTop="1" thickBot="1" x14ac:dyDescent="0.4">
      <c r="C1377" s="29"/>
      <c r="D1377" s="30"/>
      <c r="E1377" s="106" t="str">
        <f>IFERROR(VLOOKUP($D1377,NUMDIST[],2,FALSE),"DA Non trouvéé")</f>
        <v>DA Non trouvéé</v>
      </c>
      <c r="F1377" s="30"/>
      <c r="G1377" s="31"/>
      <c r="H1377" s="13">
        <v>0</v>
      </c>
      <c r="I1377" s="13">
        <v>0</v>
      </c>
      <c r="J1377" s="30"/>
      <c r="K1377" s="37"/>
    </row>
    <row r="1378" spans="3:11" ht="15.5" thickTop="1" thickBot="1" x14ac:dyDescent="0.4">
      <c r="C1378" s="29"/>
      <c r="D1378" s="30"/>
      <c r="E1378" s="106" t="str">
        <f>IFERROR(VLOOKUP($D1378,NUMDIST[],2,FALSE),"DA Non trouvéé")</f>
        <v>DA Non trouvéé</v>
      </c>
      <c r="F1378" s="30"/>
      <c r="G1378" s="31"/>
      <c r="H1378" s="13">
        <v>0</v>
      </c>
      <c r="I1378" s="13">
        <v>0</v>
      </c>
      <c r="J1378" s="30"/>
      <c r="K1378" s="37"/>
    </row>
    <row r="1379" spans="3:11" ht="15.5" thickTop="1" thickBot="1" x14ac:dyDescent="0.4">
      <c r="C1379" s="29"/>
      <c r="D1379" s="30"/>
      <c r="E1379" s="106" t="str">
        <f>IFERROR(VLOOKUP($D1379,NUMDIST[],2,FALSE),"DA Non trouvéé")</f>
        <v>DA Non trouvéé</v>
      </c>
      <c r="F1379" s="30"/>
      <c r="G1379" s="31"/>
      <c r="H1379" s="13">
        <v>0</v>
      </c>
      <c r="I1379" s="13">
        <v>0</v>
      </c>
      <c r="J1379" s="30"/>
      <c r="K1379" s="37"/>
    </row>
    <row r="1380" spans="3:11" ht="15.5" thickTop="1" thickBot="1" x14ac:dyDescent="0.4">
      <c r="C1380" s="29"/>
      <c r="D1380" s="30"/>
      <c r="E1380" s="106" t="str">
        <f>IFERROR(VLOOKUP($D1380,NUMDIST[],2,FALSE),"DA Non trouvéé")</f>
        <v>DA Non trouvéé</v>
      </c>
      <c r="F1380" s="30"/>
      <c r="G1380" s="31"/>
      <c r="H1380" s="13">
        <v>0</v>
      </c>
      <c r="I1380" s="13">
        <v>0</v>
      </c>
      <c r="J1380" s="30"/>
      <c r="K1380" s="37"/>
    </row>
    <row r="1381" spans="3:11" ht="15.5" thickTop="1" thickBot="1" x14ac:dyDescent="0.4">
      <c r="C1381" s="29"/>
      <c r="D1381" s="30"/>
      <c r="E1381" s="106" t="str">
        <f>IFERROR(VLOOKUP($D1381,NUMDIST[],2,FALSE),"DA Non trouvéé")</f>
        <v>DA Non trouvéé</v>
      </c>
      <c r="F1381" s="30"/>
      <c r="G1381" s="31"/>
      <c r="H1381" s="13">
        <v>0</v>
      </c>
      <c r="I1381" s="13">
        <v>0</v>
      </c>
      <c r="J1381" s="30"/>
      <c r="K1381" s="37"/>
    </row>
    <row r="1382" spans="3:11" ht="15.5" thickTop="1" thickBot="1" x14ac:dyDescent="0.4">
      <c r="C1382" s="29"/>
      <c r="D1382" s="30"/>
      <c r="E1382" s="106" t="str">
        <f>IFERROR(VLOOKUP($D1382,NUMDIST[],2,FALSE),"DA Non trouvéé")</f>
        <v>DA Non trouvéé</v>
      </c>
      <c r="F1382" s="30"/>
      <c r="G1382" s="31"/>
      <c r="H1382" s="13">
        <v>0</v>
      </c>
      <c r="I1382" s="13">
        <v>0</v>
      </c>
      <c r="J1382" s="30"/>
      <c r="K1382" s="37"/>
    </row>
    <row r="1383" spans="3:11" ht="15.5" thickTop="1" thickBot="1" x14ac:dyDescent="0.4">
      <c r="C1383" s="29"/>
      <c r="D1383" s="30"/>
      <c r="E1383" s="106" t="str">
        <f>IFERROR(VLOOKUP($D1383,NUMDIST[],2,FALSE),"DA Non trouvéé")</f>
        <v>DA Non trouvéé</v>
      </c>
      <c r="F1383" s="30"/>
      <c r="G1383" s="31"/>
      <c r="H1383" s="13">
        <v>0</v>
      </c>
      <c r="I1383" s="13">
        <v>0</v>
      </c>
      <c r="J1383" s="30"/>
      <c r="K1383" s="37"/>
    </row>
    <row r="1384" spans="3:11" ht="15.5" thickTop="1" thickBot="1" x14ac:dyDescent="0.4">
      <c r="C1384" s="29"/>
      <c r="D1384" s="30"/>
      <c r="E1384" s="106" t="str">
        <f>IFERROR(VLOOKUP($D1384,NUMDIST[],2,FALSE),"DA Non trouvéé")</f>
        <v>DA Non trouvéé</v>
      </c>
      <c r="F1384" s="30"/>
      <c r="G1384" s="31"/>
      <c r="H1384" s="13">
        <v>0</v>
      </c>
      <c r="I1384" s="13">
        <v>0</v>
      </c>
      <c r="J1384" s="30"/>
      <c r="K1384" s="37"/>
    </row>
    <row r="1385" spans="3:11" ht="15.5" thickTop="1" thickBot="1" x14ac:dyDescent="0.4">
      <c r="C1385" s="29"/>
      <c r="D1385" s="30"/>
      <c r="E1385" s="106" t="str">
        <f>IFERROR(VLOOKUP($D1385,NUMDIST[],2,FALSE),"DA Non trouvéé")</f>
        <v>DA Non trouvéé</v>
      </c>
      <c r="F1385" s="30"/>
      <c r="G1385" s="31"/>
      <c r="H1385" s="13">
        <v>0</v>
      </c>
      <c r="I1385" s="13">
        <v>0</v>
      </c>
      <c r="J1385" s="30"/>
      <c r="K1385" s="37"/>
    </row>
    <row r="1386" spans="3:11" ht="15.5" thickTop="1" thickBot="1" x14ac:dyDescent="0.4">
      <c r="C1386" s="29"/>
      <c r="D1386" s="30"/>
      <c r="E1386" s="106" t="str">
        <f>IFERROR(VLOOKUP($D1386,NUMDIST[],2,FALSE),"DA Non trouvéé")</f>
        <v>DA Non trouvéé</v>
      </c>
      <c r="F1386" s="30"/>
      <c r="G1386" s="31"/>
      <c r="H1386" s="13">
        <v>0</v>
      </c>
      <c r="I1386" s="13">
        <v>0</v>
      </c>
      <c r="J1386" s="30"/>
      <c r="K1386" s="37"/>
    </row>
    <row r="1387" spans="3:11" ht="15.5" thickTop="1" thickBot="1" x14ac:dyDescent="0.4">
      <c r="C1387" s="29"/>
      <c r="D1387" s="30"/>
      <c r="E1387" s="106" t="str">
        <f>IFERROR(VLOOKUP($D1387,NUMDIST[],2,FALSE),"DA Non trouvéé")</f>
        <v>DA Non trouvéé</v>
      </c>
      <c r="F1387" s="30"/>
      <c r="G1387" s="31"/>
      <c r="H1387" s="13">
        <v>0</v>
      </c>
      <c r="I1387" s="13">
        <v>0</v>
      </c>
      <c r="J1387" s="30"/>
      <c r="K1387" s="37"/>
    </row>
    <row r="1388" spans="3:11" ht="15.5" thickTop="1" thickBot="1" x14ac:dyDescent="0.4">
      <c r="C1388" s="29"/>
      <c r="D1388" s="30"/>
      <c r="E1388" s="106" t="str">
        <f>IFERROR(VLOOKUP($D1388,NUMDIST[],2,FALSE),"DA Non trouvéé")</f>
        <v>DA Non trouvéé</v>
      </c>
      <c r="F1388" s="30"/>
      <c r="G1388" s="31"/>
      <c r="H1388" s="13">
        <v>0</v>
      </c>
      <c r="I1388" s="13">
        <v>0</v>
      </c>
      <c r="J1388" s="30"/>
      <c r="K1388" s="37"/>
    </row>
    <row r="1389" spans="3:11" ht="15.5" thickTop="1" thickBot="1" x14ac:dyDescent="0.4">
      <c r="C1389" s="29"/>
      <c r="D1389" s="30"/>
      <c r="E1389" s="106" t="str">
        <f>IFERROR(VLOOKUP($D1389,NUMDIST[],2,FALSE),"DA Non trouvéé")</f>
        <v>DA Non trouvéé</v>
      </c>
      <c r="F1389" s="30"/>
      <c r="G1389" s="31"/>
      <c r="H1389" s="13">
        <v>0</v>
      </c>
      <c r="I1389" s="13">
        <v>0</v>
      </c>
      <c r="J1389" s="30"/>
      <c r="K1389" s="37"/>
    </row>
    <row r="1390" spans="3:11" ht="15.5" thickTop="1" thickBot="1" x14ac:dyDescent="0.4">
      <c r="C1390" s="29"/>
      <c r="D1390" s="30"/>
      <c r="E1390" s="106" t="str">
        <f>IFERROR(VLOOKUP($D1390,NUMDIST[],2,FALSE),"DA Non trouvéé")</f>
        <v>DA Non trouvéé</v>
      </c>
      <c r="F1390" s="30"/>
      <c r="G1390" s="31"/>
      <c r="H1390" s="13">
        <v>0</v>
      </c>
      <c r="I1390" s="13">
        <v>0</v>
      </c>
      <c r="J1390" s="30"/>
      <c r="K1390" s="37"/>
    </row>
    <row r="1391" spans="3:11" ht="15.5" thickTop="1" thickBot="1" x14ac:dyDescent="0.4">
      <c r="C1391" s="29"/>
      <c r="D1391" s="30"/>
      <c r="E1391" s="106" t="str">
        <f>IFERROR(VLOOKUP($D1391,NUMDIST[],2,FALSE),"DA Non trouvéé")</f>
        <v>DA Non trouvéé</v>
      </c>
      <c r="F1391" s="30"/>
      <c r="G1391" s="31"/>
      <c r="H1391" s="13">
        <v>0</v>
      </c>
      <c r="I1391" s="13">
        <v>0</v>
      </c>
      <c r="J1391" s="30"/>
      <c r="K1391" s="37"/>
    </row>
    <row r="1392" spans="3:11" ht="15.5" thickTop="1" thickBot="1" x14ac:dyDescent="0.4">
      <c r="C1392" s="29"/>
      <c r="D1392" s="30"/>
      <c r="E1392" s="106" t="str">
        <f>IFERROR(VLOOKUP($D1392,NUMDIST[],2,FALSE),"DA Non trouvéé")</f>
        <v>DA Non trouvéé</v>
      </c>
      <c r="F1392" s="30"/>
      <c r="G1392" s="31"/>
      <c r="H1392" s="13">
        <v>0</v>
      </c>
      <c r="I1392" s="13">
        <v>0</v>
      </c>
      <c r="J1392" s="30"/>
      <c r="K1392" s="37"/>
    </row>
    <row r="1393" spans="3:11" ht="15.5" thickTop="1" thickBot="1" x14ac:dyDescent="0.4">
      <c r="C1393" s="29"/>
      <c r="D1393" s="30"/>
      <c r="E1393" s="106" t="str">
        <f>IFERROR(VLOOKUP($D1393,NUMDIST[],2,FALSE),"DA Non trouvéé")</f>
        <v>DA Non trouvéé</v>
      </c>
      <c r="F1393" s="30"/>
      <c r="G1393" s="31"/>
      <c r="H1393" s="13">
        <v>0</v>
      </c>
      <c r="I1393" s="13">
        <v>0</v>
      </c>
      <c r="J1393" s="30"/>
      <c r="K1393" s="37"/>
    </row>
    <row r="1394" spans="3:11" ht="15.5" thickTop="1" thickBot="1" x14ac:dyDescent="0.4">
      <c r="C1394" s="29"/>
      <c r="D1394" s="30"/>
      <c r="E1394" s="106" t="str">
        <f>IFERROR(VLOOKUP($D1394,NUMDIST[],2,FALSE),"DA Non trouvéé")</f>
        <v>DA Non trouvéé</v>
      </c>
      <c r="F1394" s="30"/>
      <c r="G1394" s="31"/>
      <c r="H1394" s="13">
        <v>0</v>
      </c>
      <c r="I1394" s="13">
        <v>0</v>
      </c>
      <c r="J1394" s="30"/>
      <c r="K1394" s="37"/>
    </row>
    <row r="1395" spans="3:11" ht="15.5" thickTop="1" thickBot="1" x14ac:dyDescent="0.4">
      <c r="C1395" s="29"/>
      <c r="D1395" s="30"/>
      <c r="E1395" s="106" t="str">
        <f>IFERROR(VLOOKUP($D1395,NUMDIST[],2,FALSE),"DA Non trouvéé")</f>
        <v>DA Non trouvéé</v>
      </c>
      <c r="F1395" s="30"/>
      <c r="G1395" s="31"/>
      <c r="H1395" s="13">
        <v>0</v>
      </c>
      <c r="I1395" s="13">
        <v>0</v>
      </c>
      <c r="J1395" s="30"/>
      <c r="K1395" s="37"/>
    </row>
    <row r="1396" spans="3:11" ht="15.5" thickTop="1" thickBot="1" x14ac:dyDescent="0.4">
      <c r="C1396" s="29"/>
      <c r="D1396" s="30"/>
      <c r="E1396" s="106" t="str">
        <f>IFERROR(VLOOKUP($D1396,NUMDIST[],2,FALSE),"DA Non trouvéé")</f>
        <v>DA Non trouvéé</v>
      </c>
      <c r="F1396" s="30"/>
      <c r="G1396" s="31"/>
      <c r="H1396" s="13">
        <v>0</v>
      </c>
      <c r="I1396" s="13">
        <v>0</v>
      </c>
      <c r="J1396" s="30"/>
      <c r="K1396" s="37"/>
    </row>
    <row r="1397" spans="3:11" ht="15.5" thickTop="1" thickBot="1" x14ac:dyDescent="0.4">
      <c r="C1397" s="29"/>
      <c r="D1397" s="30"/>
      <c r="E1397" s="106" t="str">
        <f>IFERROR(VLOOKUP($D1397,NUMDIST[],2,FALSE),"DA Non trouvéé")</f>
        <v>DA Non trouvéé</v>
      </c>
      <c r="F1397" s="30"/>
      <c r="G1397" s="31"/>
      <c r="H1397" s="13">
        <v>0</v>
      </c>
      <c r="I1397" s="13">
        <v>0</v>
      </c>
      <c r="J1397" s="30"/>
      <c r="K1397" s="37"/>
    </row>
    <row r="1398" spans="3:11" ht="15.5" thickTop="1" thickBot="1" x14ac:dyDescent="0.4">
      <c r="C1398" s="29"/>
      <c r="D1398" s="30"/>
      <c r="E1398" s="106" t="str">
        <f>IFERROR(VLOOKUP($D1398,NUMDIST[],2,FALSE),"DA Non trouvéé")</f>
        <v>DA Non trouvéé</v>
      </c>
      <c r="F1398" s="30"/>
      <c r="G1398" s="31"/>
      <c r="H1398" s="13">
        <v>0</v>
      </c>
      <c r="I1398" s="13">
        <v>0</v>
      </c>
      <c r="J1398" s="30"/>
      <c r="K1398" s="37"/>
    </row>
    <row r="1399" spans="3:11" ht="15.5" thickTop="1" thickBot="1" x14ac:dyDescent="0.4">
      <c r="C1399" s="29"/>
      <c r="D1399" s="30"/>
      <c r="E1399" s="106" t="str">
        <f>IFERROR(VLOOKUP($D1399,NUMDIST[],2,FALSE),"DA Non trouvéé")</f>
        <v>DA Non trouvéé</v>
      </c>
      <c r="F1399" s="30"/>
      <c r="G1399" s="31"/>
      <c r="H1399" s="13">
        <v>0</v>
      </c>
      <c r="I1399" s="13">
        <v>0</v>
      </c>
      <c r="J1399" s="30"/>
      <c r="K1399" s="37"/>
    </row>
    <row r="1400" spans="3:11" ht="15.5" thickTop="1" thickBot="1" x14ac:dyDescent="0.4">
      <c r="C1400" s="29"/>
      <c r="D1400" s="30"/>
      <c r="E1400" s="106" t="str">
        <f>IFERROR(VLOOKUP($D1400,NUMDIST[],2,FALSE),"DA Non trouvéé")</f>
        <v>DA Non trouvéé</v>
      </c>
      <c r="F1400" s="30"/>
      <c r="G1400" s="31"/>
      <c r="H1400" s="13">
        <v>0</v>
      </c>
      <c r="I1400" s="13">
        <v>0</v>
      </c>
      <c r="J1400" s="30"/>
      <c r="K1400" s="37"/>
    </row>
    <row r="1401" spans="3:11" ht="15.5" thickTop="1" thickBot="1" x14ac:dyDescent="0.4">
      <c r="C1401" s="29"/>
      <c r="D1401" s="30"/>
      <c r="E1401" s="106" t="str">
        <f>IFERROR(VLOOKUP($D1401,NUMDIST[],2,FALSE),"DA Non trouvéé")</f>
        <v>DA Non trouvéé</v>
      </c>
      <c r="F1401" s="30"/>
      <c r="G1401" s="31"/>
      <c r="H1401" s="13">
        <v>0</v>
      </c>
      <c r="I1401" s="13">
        <v>0</v>
      </c>
      <c r="J1401" s="30"/>
      <c r="K1401" s="37"/>
    </row>
    <row r="1402" spans="3:11" ht="15.5" thickTop="1" thickBot="1" x14ac:dyDescent="0.4">
      <c r="C1402" s="29"/>
      <c r="D1402" s="30"/>
      <c r="E1402" s="106" t="str">
        <f>IFERROR(VLOOKUP($D1402,NUMDIST[],2,FALSE),"DA Non trouvéé")</f>
        <v>DA Non trouvéé</v>
      </c>
      <c r="F1402" s="30"/>
      <c r="G1402" s="31"/>
      <c r="H1402" s="13">
        <v>0</v>
      </c>
      <c r="I1402" s="13">
        <v>0</v>
      </c>
      <c r="J1402" s="30"/>
      <c r="K1402" s="37"/>
    </row>
    <row r="1403" spans="3:11" ht="15.5" thickTop="1" thickBot="1" x14ac:dyDescent="0.4">
      <c r="C1403" s="29"/>
      <c r="D1403" s="30"/>
      <c r="E1403" s="106" t="str">
        <f>IFERROR(VLOOKUP($D1403,NUMDIST[],2,FALSE),"DA Non trouvéé")</f>
        <v>DA Non trouvéé</v>
      </c>
      <c r="F1403" s="30"/>
      <c r="G1403" s="31"/>
      <c r="H1403" s="13">
        <v>0</v>
      </c>
      <c r="I1403" s="13">
        <v>0</v>
      </c>
      <c r="J1403" s="30"/>
      <c r="K1403" s="37"/>
    </row>
    <row r="1404" spans="3:11" ht="15.5" thickTop="1" thickBot="1" x14ac:dyDescent="0.4">
      <c r="C1404" s="29"/>
      <c r="D1404" s="30"/>
      <c r="E1404" s="106" t="str">
        <f>IFERROR(VLOOKUP($D1404,NUMDIST[],2,FALSE),"DA Non trouvéé")</f>
        <v>DA Non trouvéé</v>
      </c>
      <c r="F1404" s="30"/>
      <c r="G1404" s="31"/>
      <c r="H1404" s="13">
        <v>0</v>
      </c>
      <c r="I1404" s="13">
        <v>0</v>
      </c>
      <c r="J1404" s="30"/>
      <c r="K1404" s="37"/>
    </row>
    <row r="1405" spans="3:11" ht="15.5" thickTop="1" thickBot="1" x14ac:dyDescent="0.4">
      <c r="C1405" s="29"/>
      <c r="D1405" s="30"/>
      <c r="E1405" s="106" t="str">
        <f>IFERROR(VLOOKUP($D1405,NUMDIST[],2,FALSE),"DA Non trouvéé")</f>
        <v>DA Non trouvéé</v>
      </c>
      <c r="F1405" s="30"/>
      <c r="G1405" s="31"/>
      <c r="H1405" s="13">
        <v>0</v>
      </c>
      <c r="I1405" s="13">
        <v>0</v>
      </c>
      <c r="J1405" s="30"/>
      <c r="K1405" s="37"/>
    </row>
    <row r="1406" spans="3:11" ht="15.5" thickTop="1" thickBot="1" x14ac:dyDescent="0.4">
      <c r="C1406" s="29"/>
      <c r="D1406" s="30"/>
      <c r="E1406" s="106" t="str">
        <f>IFERROR(VLOOKUP($D1406,NUMDIST[],2,FALSE),"DA Non trouvéé")</f>
        <v>DA Non trouvéé</v>
      </c>
      <c r="F1406" s="30"/>
      <c r="G1406" s="31"/>
      <c r="H1406" s="13">
        <v>0</v>
      </c>
      <c r="I1406" s="13">
        <v>0</v>
      </c>
      <c r="J1406" s="30"/>
      <c r="K1406" s="37"/>
    </row>
    <row r="1407" spans="3:11" ht="15.5" thickTop="1" thickBot="1" x14ac:dyDescent="0.4">
      <c r="C1407" s="29"/>
      <c r="D1407" s="30"/>
      <c r="E1407" s="106" t="str">
        <f>IFERROR(VLOOKUP($D1407,NUMDIST[],2,FALSE),"DA Non trouvéé")</f>
        <v>DA Non trouvéé</v>
      </c>
      <c r="F1407" s="30"/>
      <c r="G1407" s="31"/>
      <c r="H1407" s="13">
        <v>0</v>
      </c>
      <c r="I1407" s="13">
        <v>0</v>
      </c>
      <c r="J1407" s="30"/>
      <c r="K1407" s="37"/>
    </row>
    <row r="1408" spans="3:11" ht="15.5" thickTop="1" thickBot="1" x14ac:dyDescent="0.4">
      <c r="C1408" s="29"/>
      <c r="D1408" s="30"/>
      <c r="E1408" s="106" t="str">
        <f>IFERROR(VLOOKUP($D1408,NUMDIST[],2,FALSE),"DA Non trouvéé")</f>
        <v>DA Non trouvéé</v>
      </c>
      <c r="F1408" s="30"/>
      <c r="G1408" s="31"/>
      <c r="H1408" s="13">
        <v>0</v>
      </c>
      <c r="I1408" s="13">
        <v>0</v>
      </c>
      <c r="J1408" s="30"/>
      <c r="K1408" s="37"/>
    </row>
    <row r="1409" spans="3:11" ht="15.5" thickTop="1" thickBot="1" x14ac:dyDescent="0.4">
      <c r="C1409" s="29"/>
      <c r="D1409" s="30"/>
      <c r="E1409" s="106" t="str">
        <f>IFERROR(VLOOKUP($D1409,NUMDIST[],2,FALSE),"DA Non trouvéé")</f>
        <v>DA Non trouvéé</v>
      </c>
      <c r="F1409" s="30"/>
      <c r="G1409" s="31"/>
      <c r="H1409" s="13">
        <v>0</v>
      </c>
      <c r="I1409" s="13">
        <v>0</v>
      </c>
      <c r="J1409" s="30"/>
      <c r="K1409" s="37"/>
    </row>
    <row r="1410" spans="3:11" ht="15.5" thickTop="1" thickBot="1" x14ac:dyDescent="0.4">
      <c r="C1410" s="29"/>
      <c r="D1410" s="30"/>
      <c r="E1410" s="106" t="str">
        <f>IFERROR(VLOOKUP($D1410,NUMDIST[],2,FALSE),"DA Non trouvéé")</f>
        <v>DA Non trouvéé</v>
      </c>
      <c r="F1410" s="30"/>
      <c r="G1410" s="31"/>
      <c r="H1410" s="13">
        <v>0</v>
      </c>
      <c r="I1410" s="13">
        <v>0</v>
      </c>
      <c r="J1410" s="30"/>
      <c r="K1410" s="37"/>
    </row>
    <row r="1411" spans="3:11" ht="15.5" thickTop="1" thickBot="1" x14ac:dyDescent="0.4">
      <c r="C1411" s="29"/>
      <c r="D1411" s="30"/>
      <c r="E1411" s="106" t="str">
        <f>IFERROR(VLOOKUP($D1411,NUMDIST[],2,FALSE),"DA Non trouvéé")</f>
        <v>DA Non trouvéé</v>
      </c>
      <c r="F1411" s="30"/>
      <c r="G1411" s="31"/>
      <c r="H1411" s="13">
        <v>0</v>
      </c>
      <c r="I1411" s="13">
        <v>0</v>
      </c>
      <c r="J1411" s="30"/>
      <c r="K1411" s="37"/>
    </row>
    <row r="1412" spans="3:11" ht="15.5" thickTop="1" thickBot="1" x14ac:dyDescent="0.4">
      <c r="C1412" s="29"/>
      <c r="D1412" s="30"/>
      <c r="E1412" s="106" t="str">
        <f>IFERROR(VLOOKUP($D1412,NUMDIST[],2,FALSE),"DA Non trouvéé")</f>
        <v>DA Non trouvéé</v>
      </c>
      <c r="F1412" s="30"/>
      <c r="G1412" s="31"/>
      <c r="H1412" s="13">
        <v>0</v>
      </c>
      <c r="I1412" s="13">
        <v>0</v>
      </c>
      <c r="J1412" s="30"/>
      <c r="K1412" s="37"/>
    </row>
    <row r="1413" spans="3:11" ht="15.5" thickTop="1" thickBot="1" x14ac:dyDescent="0.4">
      <c r="C1413" s="29"/>
      <c r="D1413" s="30"/>
      <c r="E1413" s="106" t="str">
        <f>IFERROR(VLOOKUP($D1413,NUMDIST[],2,FALSE),"DA Non trouvéé")</f>
        <v>DA Non trouvéé</v>
      </c>
      <c r="F1413" s="30"/>
      <c r="G1413" s="31"/>
      <c r="H1413" s="13">
        <v>0</v>
      </c>
      <c r="I1413" s="13">
        <v>0</v>
      </c>
      <c r="J1413" s="30"/>
      <c r="K1413" s="37"/>
    </row>
    <row r="1414" spans="3:11" ht="15.5" thickTop="1" thickBot="1" x14ac:dyDescent="0.4">
      <c r="C1414" s="29"/>
      <c r="D1414" s="30"/>
      <c r="E1414" s="106" t="str">
        <f>IFERROR(VLOOKUP($D1414,NUMDIST[],2,FALSE),"DA Non trouvéé")</f>
        <v>DA Non trouvéé</v>
      </c>
      <c r="F1414" s="30"/>
      <c r="G1414" s="31"/>
      <c r="H1414" s="13">
        <v>0</v>
      </c>
      <c r="I1414" s="13">
        <v>0</v>
      </c>
      <c r="J1414" s="30"/>
      <c r="K1414" s="37"/>
    </row>
    <row r="1415" spans="3:11" ht="15.5" thickTop="1" thickBot="1" x14ac:dyDescent="0.4">
      <c r="C1415" s="29"/>
      <c r="D1415" s="30"/>
      <c r="E1415" s="106" t="str">
        <f>IFERROR(VLOOKUP($D1415,NUMDIST[],2,FALSE),"DA Non trouvéé")</f>
        <v>DA Non trouvéé</v>
      </c>
      <c r="F1415" s="30"/>
      <c r="G1415" s="31"/>
      <c r="H1415" s="13">
        <v>0</v>
      </c>
      <c r="I1415" s="13">
        <v>0</v>
      </c>
      <c r="J1415" s="30"/>
      <c r="K1415" s="37"/>
    </row>
    <row r="1416" spans="3:11" ht="15.5" thickTop="1" thickBot="1" x14ac:dyDescent="0.4">
      <c r="C1416" s="29"/>
      <c r="D1416" s="30"/>
      <c r="E1416" s="106" t="str">
        <f>IFERROR(VLOOKUP($D1416,NUMDIST[],2,FALSE),"DA Non trouvéé")</f>
        <v>DA Non trouvéé</v>
      </c>
      <c r="F1416" s="30"/>
      <c r="G1416" s="31"/>
      <c r="H1416" s="13">
        <v>0</v>
      </c>
      <c r="I1416" s="13">
        <v>0</v>
      </c>
      <c r="J1416" s="30"/>
      <c r="K1416" s="37"/>
    </row>
    <row r="1417" spans="3:11" ht="15.5" thickTop="1" thickBot="1" x14ac:dyDescent="0.4">
      <c r="C1417" s="29"/>
      <c r="D1417" s="30"/>
      <c r="E1417" s="106" t="str">
        <f>IFERROR(VLOOKUP($D1417,NUMDIST[],2,FALSE),"DA Non trouvéé")</f>
        <v>DA Non trouvéé</v>
      </c>
      <c r="F1417" s="30"/>
      <c r="G1417" s="31"/>
      <c r="H1417" s="13">
        <v>0</v>
      </c>
      <c r="I1417" s="13">
        <v>0</v>
      </c>
      <c r="J1417" s="30"/>
      <c r="K1417" s="37"/>
    </row>
    <row r="1418" spans="3:11" ht="15.5" thickTop="1" thickBot="1" x14ac:dyDescent="0.4">
      <c r="C1418" s="29"/>
      <c r="D1418" s="30"/>
      <c r="E1418" s="106" t="str">
        <f>IFERROR(VLOOKUP($D1418,NUMDIST[],2,FALSE),"DA Non trouvéé")</f>
        <v>DA Non trouvéé</v>
      </c>
      <c r="F1418" s="30"/>
      <c r="G1418" s="31"/>
      <c r="H1418" s="13">
        <v>0</v>
      </c>
      <c r="I1418" s="13">
        <v>0</v>
      </c>
      <c r="J1418" s="30"/>
      <c r="K1418" s="37"/>
    </row>
    <row r="1419" spans="3:11" ht="15.5" thickTop="1" thickBot="1" x14ac:dyDescent="0.4">
      <c r="C1419" s="29"/>
      <c r="D1419" s="30"/>
      <c r="E1419" s="106" t="str">
        <f>IFERROR(VLOOKUP($D1419,NUMDIST[],2,FALSE),"DA Non trouvéé")</f>
        <v>DA Non trouvéé</v>
      </c>
      <c r="F1419" s="30"/>
      <c r="G1419" s="31"/>
      <c r="H1419" s="13">
        <v>0</v>
      </c>
      <c r="I1419" s="13">
        <v>0</v>
      </c>
      <c r="J1419" s="30"/>
      <c r="K1419" s="37"/>
    </row>
    <row r="1420" spans="3:11" ht="15.5" thickTop="1" thickBot="1" x14ac:dyDescent="0.4">
      <c r="C1420" s="29"/>
      <c r="D1420" s="30"/>
      <c r="E1420" s="106" t="str">
        <f>IFERROR(VLOOKUP($D1420,NUMDIST[],2,FALSE),"DA Non trouvéé")</f>
        <v>DA Non trouvéé</v>
      </c>
      <c r="F1420" s="30"/>
      <c r="G1420" s="31"/>
      <c r="H1420" s="13">
        <v>0</v>
      </c>
      <c r="I1420" s="13">
        <v>0</v>
      </c>
      <c r="J1420" s="30"/>
      <c r="K1420" s="37"/>
    </row>
    <row r="1421" spans="3:11" ht="15.5" thickTop="1" thickBot="1" x14ac:dyDescent="0.4">
      <c r="C1421" s="29"/>
      <c r="D1421" s="30"/>
      <c r="E1421" s="106" t="str">
        <f>IFERROR(VLOOKUP($D1421,NUMDIST[],2,FALSE),"DA Non trouvéé")</f>
        <v>DA Non trouvéé</v>
      </c>
      <c r="F1421" s="30"/>
      <c r="G1421" s="31"/>
      <c r="H1421" s="13">
        <v>0</v>
      </c>
      <c r="I1421" s="13">
        <v>0</v>
      </c>
      <c r="J1421" s="30"/>
      <c r="K1421" s="37"/>
    </row>
    <row r="1422" spans="3:11" ht="15.5" thickTop="1" thickBot="1" x14ac:dyDescent="0.4">
      <c r="C1422" s="29"/>
      <c r="D1422" s="30"/>
      <c r="E1422" s="106" t="str">
        <f>IFERROR(VLOOKUP($D1422,NUMDIST[],2,FALSE),"DA Non trouvéé")</f>
        <v>DA Non trouvéé</v>
      </c>
      <c r="F1422" s="30"/>
      <c r="G1422" s="31"/>
      <c r="H1422" s="13">
        <v>0</v>
      </c>
      <c r="I1422" s="13">
        <v>0</v>
      </c>
      <c r="J1422" s="30"/>
      <c r="K1422" s="37"/>
    </row>
    <row r="1423" spans="3:11" ht="15.5" thickTop="1" thickBot="1" x14ac:dyDescent="0.4">
      <c r="C1423" s="29"/>
      <c r="D1423" s="30"/>
      <c r="E1423" s="106" t="str">
        <f>IFERROR(VLOOKUP($D1423,NUMDIST[],2,FALSE),"DA Non trouvéé")</f>
        <v>DA Non trouvéé</v>
      </c>
      <c r="F1423" s="30"/>
      <c r="G1423" s="31"/>
      <c r="H1423" s="13">
        <v>0</v>
      </c>
      <c r="I1423" s="13">
        <v>0</v>
      </c>
      <c r="J1423" s="30"/>
      <c r="K1423" s="37"/>
    </row>
    <row r="1424" spans="3:11" ht="15.5" thickTop="1" thickBot="1" x14ac:dyDescent="0.4">
      <c r="C1424" s="29"/>
      <c r="D1424" s="30"/>
      <c r="E1424" s="106" t="str">
        <f>IFERROR(VLOOKUP($D1424,NUMDIST[],2,FALSE),"DA Non trouvéé")</f>
        <v>DA Non trouvéé</v>
      </c>
      <c r="F1424" s="30"/>
      <c r="G1424" s="31"/>
      <c r="H1424" s="13">
        <v>0</v>
      </c>
      <c r="I1424" s="13">
        <v>0</v>
      </c>
      <c r="J1424" s="30"/>
      <c r="K1424" s="37"/>
    </row>
    <row r="1425" spans="3:11" ht="15.5" thickTop="1" thickBot="1" x14ac:dyDescent="0.4">
      <c r="C1425" s="29"/>
      <c r="D1425" s="30"/>
      <c r="E1425" s="106" t="str">
        <f>IFERROR(VLOOKUP($D1425,NUMDIST[],2,FALSE),"DA Non trouvéé")</f>
        <v>DA Non trouvéé</v>
      </c>
      <c r="F1425" s="30"/>
      <c r="G1425" s="31"/>
      <c r="H1425" s="13">
        <v>0</v>
      </c>
      <c r="I1425" s="13">
        <v>0</v>
      </c>
      <c r="J1425" s="30"/>
      <c r="K1425" s="37"/>
    </row>
    <row r="1426" spans="3:11" ht="15.5" thickTop="1" thickBot="1" x14ac:dyDescent="0.4">
      <c r="C1426" s="29"/>
      <c r="D1426" s="30"/>
      <c r="E1426" s="106" t="str">
        <f>IFERROR(VLOOKUP($D1426,NUMDIST[],2,FALSE),"DA Non trouvéé")</f>
        <v>DA Non trouvéé</v>
      </c>
      <c r="F1426" s="30"/>
      <c r="G1426" s="31"/>
      <c r="H1426" s="13">
        <v>0</v>
      </c>
      <c r="I1426" s="13">
        <v>0</v>
      </c>
      <c r="J1426" s="30"/>
      <c r="K1426" s="37"/>
    </row>
    <row r="1427" spans="3:11" ht="15.5" thickTop="1" thickBot="1" x14ac:dyDescent="0.4">
      <c r="C1427" s="29"/>
      <c r="D1427" s="30"/>
      <c r="E1427" s="106" t="str">
        <f>IFERROR(VLOOKUP($D1427,NUMDIST[],2,FALSE),"DA Non trouvéé")</f>
        <v>DA Non trouvéé</v>
      </c>
      <c r="F1427" s="30"/>
      <c r="G1427" s="31"/>
      <c r="H1427" s="13">
        <v>0</v>
      </c>
      <c r="I1427" s="13">
        <v>0</v>
      </c>
      <c r="J1427" s="30"/>
      <c r="K1427" s="37"/>
    </row>
    <row r="1428" spans="3:11" ht="15.5" thickTop="1" thickBot="1" x14ac:dyDescent="0.4">
      <c r="C1428" s="29"/>
      <c r="D1428" s="30"/>
      <c r="E1428" s="106" t="str">
        <f>IFERROR(VLOOKUP($D1428,NUMDIST[],2,FALSE),"DA Non trouvéé")</f>
        <v>DA Non trouvéé</v>
      </c>
      <c r="F1428" s="30"/>
      <c r="G1428" s="31"/>
      <c r="H1428" s="13">
        <v>0</v>
      </c>
      <c r="I1428" s="13">
        <v>0</v>
      </c>
      <c r="J1428" s="30"/>
      <c r="K1428" s="37"/>
    </row>
    <row r="1429" spans="3:11" ht="15.5" thickTop="1" thickBot="1" x14ac:dyDescent="0.4">
      <c r="C1429" s="29"/>
      <c r="D1429" s="30"/>
      <c r="E1429" s="106" t="str">
        <f>IFERROR(VLOOKUP($D1429,NUMDIST[],2,FALSE),"DA Non trouvéé")</f>
        <v>DA Non trouvéé</v>
      </c>
      <c r="F1429" s="30"/>
      <c r="G1429" s="31"/>
      <c r="H1429" s="13">
        <v>0</v>
      </c>
      <c r="I1429" s="13">
        <v>0</v>
      </c>
      <c r="J1429" s="30"/>
      <c r="K1429" s="37"/>
    </row>
    <row r="1430" spans="3:11" ht="15.5" thickTop="1" thickBot="1" x14ac:dyDescent="0.4">
      <c r="C1430" s="29"/>
      <c r="D1430" s="30"/>
      <c r="E1430" s="106" t="str">
        <f>IFERROR(VLOOKUP($D1430,NUMDIST[],2,FALSE),"DA Non trouvéé")</f>
        <v>DA Non trouvéé</v>
      </c>
      <c r="F1430" s="30"/>
      <c r="G1430" s="31"/>
      <c r="H1430" s="13">
        <v>0</v>
      </c>
      <c r="I1430" s="13">
        <v>0</v>
      </c>
      <c r="J1430" s="30"/>
      <c r="K1430" s="37"/>
    </row>
    <row r="1431" spans="3:11" ht="15.5" thickTop="1" thickBot="1" x14ac:dyDescent="0.4">
      <c r="C1431" s="29"/>
      <c r="D1431" s="30"/>
      <c r="E1431" s="106" t="str">
        <f>IFERROR(VLOOKUP($D1431,NUMDIST[],2,FALSE),"DA Non trouvéé")</f>
        <v>DA Non trouvéé</v>
      </c>
      <c r="F1431" s="30"/>
      <c r="G1431" s="31"/>
      <c r="H1431" s="13">
        <v>0</v>
      </c>
      <c r="I1431" s="13">
        <v>0</v>
      </c>
      <c r="J1431" s="30"/>
      <c r="K1431" s="37"/>
    </row>
    <row r="1432" spans="3:11" ht="15.5" thickTop="1" thickBot="1" x14ac:dyDescent="0.4">
      <c r="C1432" s="29"/>
      <c r="D1432" s="30"/>
      <c r="E1432" s="106" t="str">
        <f>IFERROR(VLOOKUP($D1432,NUMDIST[],2,FALSE),"DA Non trouvéé")</f>
        <v>DA Non trouvéé</v>
      </c>
      <c r="F1432" s="30"/>
      <c r="G1432" s="31"/>
      <c r="H1432" s="13">
        <v>0</v>
      </c>
      <c r="I1432" s="13">
        <v>0</v>
      </c>
      <c r="J1432" s="30"/>
      <c r="K1432" s="37"/>
    </row>
    <row r="1433" spans="3:11" ht="15.5" thickTop="1" thickBot="1" x14ac:dyDescent="0.4">
      <c r="C1433" s="29"/>
      <c r="D1433" s="30"/>
      <c r="E1433" s="106" t="str">
        <f>IFERROR(VLOOKUP($D1433,NUMDIST[],2,FALSE),"DA Non trouvéé")</f>
        <v>DA Non trouvéé</v>
      </c>
      <c r="F1433" s="30"/>
      <c r="G1433" s="31"/>
      <c r="H1433" s="13">
        <v>0</v>
      </c>
      <c r="I1433" s="13">
        <v>0</v>
      </c>
      <c r="J1433" s="30"/>
      <c r="K1433" s="37"/>
    </row>
    <row r="1434" spans="3:11" ht="15.5" thickTop="1" thickBot="1" x14ac:dyDescent="0.4">
      <c r="C1434" s="29"/>
      <c r="D1434" s="30"/>
      <c r="E1434" s="106" t="str">
        <f>IFERROR(VLOOKUP($D1434,NUMDIST[],2,FALSE),"DA Non trouvéé")</f>
        <v>DA Non trouvéé</v>
      </c>
      <c r="F1434" s="30"/>
      <c r="G1434" s="31"/>
      <c r="H1434" s="13">
        <v>0</v>
      </c>
      <c r="I1434" s="13">
        <v>0</v>
      </c>
      <c r="J1434" s="30"/>
      <c r="K1434" s="37"/>
    </row>
    <row r="1435" spans="3:11" ht="15.5" thickTop="1" thickBot="1" x14ac:dyDescent="0.4">
      <c r="C1435" s="29"/>
      <c r="D1435" s="30"/>
      <c r="E1435" s="106" t="str">
        <f>IFERROR(VLOOKUP($D1435,NUMDIST[],2,FALSE),"DA Non trouvéé")</f>
        <v>DA Non trouvéé</v>
      </c>
      <c r="F1435" s="30"/>
      <c r="G1435" s="31"/>
      <c r="H1435" s="13">
        <v>0</v>
      </c>
      <c r="I1435" s="13">
        <v>0</v>
      </c>
      <c r="J1435" s="30"/>
      <c r="K1435" s="37"/>
    </row>
    <row r="1436" spans="3:11" ht="15.5" thickTop="1" thickBot="1" x14ac:dyDescent="0.4">
      <c r="C1436" s="29"/>
      <c r="D1436" s="30"/>
      <c r="E1436" s="106" t="str">
        <f>IFERROR(VLOOKUP($D1436,NUMDIST[],2,FALSE),"DA Non trouvéé")</f>
        <v>DA Non trouvéé</v>
      </c>
      <c r="F1436" s="30"/>
      <c r="G1436" s="31"/>
      <c r="H1436" s="13">
        <v>0</v>
      </c>
      <c r="I1436" s="13">
        <v>0</v>
      </c>
      <c r="J1436" s="30"/>
      <c r="K1436" s="37"/>
    </row>
    <row r="1437" spans="3:11" ht="15.5" thickTop="1" thickBot="1" x14ac:dyDescent="0.4">
      <c r="C1437" s="29"/>
      <c r="D1437" s="30"/>
      <c r="E1437" s="106" t="str">
        <f>IFERROR(VLOOKUP($D1437,NUMDIST[],2,FALSE),"DA Non trouvéé")</f>
        <v>DA Non trouvéé</v>
      </c>
      <c r="F1437" s="30"/>
      <c r="G1437" s="31"/>
      <c r="H1437" s="13">
        <v>0</v>
      </c>
      <c r="I1437" s="13">
        <v>0</v>
      </c>
      <c r="J1437" s="30"/>
      <c r="K1437" s="37"/>
    </row>
    <row r="1438" spans="3:11" ht="15.5" thickTop="1" thickBot="1" x14ac:dyDescent="0.4">
      <c r="C1438" s="29"/>
      <c r="D1438" s="30"/>
      <c r="E1438" s="106" t="str">
        <f>IFERROR(VLOOKUP($D1438,NUMDIST[],2,FALSE),"DA Non trouvéé")</f>
        <v>DA Non trouvéé</v>
      </c>
      <c r="F1438" s="30"/>
      <c r="G1438" s="31"/>
      <c r="H1438" s="13">
        <v>0</v>
      </c>
      <c r="I1438" s="13">
        <v>0</v>
      </c>
      <c r="J1438" s="30"/>
      <c r="K1438" s="37"/>
    </row>
    <row r="1439" spans="3:11" ht="15.5" thickTop="1" thickBot="1" x14ac:dyDescent="0.4">
      <c r="C1439" s="29"/>
      <c r="D1439" s="30"/>
      <c r="E1439" s="106" t="str">
        <f>IFERROR(VLOOKUP($D1439,NUMDIST[],2,FALSE),"DA Non trouvéé")</f>
        <v>DA Non trouvéé</v>
      </c>
      <c r="F1439" s="30"/>
      <c r="G1439" s="31"/>
      <c r="H1439" s="13">
        <v>0</v>
      </c>
      <c r="I1439" s="13">
        <v>0</v>
      </c>
      <c r="J1439" s="30"/>
      <c r="K1439" s="37"/>
    </row>
    <row r="1440" spans="3:11" ht="15.5" thickTop="1" thickBot="1" x14ac:dyDescent="0.4">
      <c r="C1440" s="29"/>
      <c r="D1440" s="30"/>
      <c r="E1440" s="106" t="str">
        <f>IFERROR(VLOOKUP($D1440,NUMDIST[],2,FALSE),"DA Non trouvéé")</f>
        <v>DA Non trouvéé</v>
      </c>
      <c r="F1440" s="30"/>
      <c r="G1440" s="31"/>
      <c r="H1440" s="13">
        <v>0</v>
      </c>
      <c r="I1440" s="13">
        <v>0</v>
      </c>
      <c r="J1440" s="30"/>
      <c r="K1440" s="37"/>
    </row>
    <row r="1441" spans="3:11" ht="15.5" thickTop="1" thickBot="1" x14ac:dyDescent="0.4">
      <c r="C1441" s="29"/>
      <c r="D1441" s="30"/>
      <c r="E1441" s="106" t="str">
        <f>IFERROR(VLOOKUP($D1441,NUMDIST[],2,FALSE),"DA Non trouvéé")</f>
        <v>DA Non trouvéé</v>
      </c>
      <c r="F1441" s="30"/>
      <c r="G1441" s="31"/>
      <c r="H1441" s="13">
        <v>0</v>
      </c>
      <c r="I1441" s="13">
        <v>0</v>
      </c>
      <c r="J1441" s="30"/>
      <c r="K1441" s="37"/>
    </row>
    <row r="1442" spans="3:11" ht="15.5" thickTop="1" thickBot="1" x14ac:dyDescent="0.4">
      <c r="C1442" s="29"/>
      <c r="D1442" s="30"/>
      <c r="E1442" s="106" t="str">
        <f>IFERROR(VLOOKUP($D1442,NUMDIST[],2,FALSE),"DA Non trouvéé")</f>
        <v>DA Non trouvéé</v>
      </c>
      <c r="F1442" s="30"/>
      <c r="G1442" s="31"/>
      <c r="H1442" s="13">
        <v>0</v>
      </c>
      <c r="I1442" s="13">
        <v>0</v>
      </c>
      <c r="J1442" s="30"/>
      <c r="K1442" s="37"/>
    </row>
    <row r="1443" spans="3:11" ht="15.5" thickTop="1" thickBot="1" x14ac:dyDescent="0.4">
      <c r="C1443" s="29"/>
      <c r="D1443" s="30"/>
      <c r="E1443" s="106" t="str">
        <f>IFERROR(VLOOKUP($D1443,NUMDIST[],2,FALSE),"DA Non trouvéé")</f>
        <v>DA Non trouvéé</v>
      </c>
      <c r="F1443" s="30"/>
      <c r="G1443" s="31"/>
      <c r="H1443" s="13">
        <v>0</v>
      </c>
      <c r="I1443" s="13">
        <v>0</v>
      </c>
      <c r="J1443" s="30"/>
      <c r="K1443" s="37"/>
    </row>
    <row r="1444" spans="3:11" ht="15.5" thickTop="1" thickBot="1" x14ac:dyDescent="0.4">
      <c r="C1444" s="29"/>
      <c r="D1444" s="30"/>
      <c r="E1444" s="106" t="str">
        <f>IFERROR(VLOOKUP($D1444,NUMDIST[],2,FALSE),"DA Non trouvéé")</f>
        <v>DA Non trouvéé</v>
      </c>
      <c r="F1444" s="30"/>
      <c r="G1444" s="31"/>
      <c r="H1444" s="13">
        <v>0</v>
      </c>
      <c r="I1444" s="13">
        <v>0</v>
      </c>
      <c r="J1444" s="30"/>
      <c r="K1444" s="37"/>
    </row>
    <row r="1445" spans="3:11" ht="15.5" thickTop="1" thickBot="1" x14ac:dyDescent="0.4">
      <c r="C1445" s="29"/>
      <c r="D1445" s="30"/>
      <c r="E1445" s="106" t="str">
        <f>IFERROR(VLOOKUP($D1445,NUMDIST[],2,FALSE),"DA Non trouvéé")</f>
        <v>DA Non trouvéé</v>
      </c>
      <c r="F1445" s="30"/>
      <c r="G1445" s="31"/>
      <c r="H1445" s="13">
        <v>0</v>
      </c>
      <c r="I1445" s="13">
        <v>0</v>
      </c>
      <c r="J1445" s="30"/>
      <c r="K1445" s="37"/>
    </row>
    <row r="1446" spans="3:11" ht="15.5" thickTop="1" thickBot="1" x14ac:dyDescent="0.4">
      <c r="C1446" s="29"/>
      <c r="D1446" s="30"/>
      <c r="E1446" s="106" t="str">
        <f>IFERROR(VLOOKUP($D1446,NUMDIST[],2,FALSE),"DA Non trouvéé")</f>
        <v>DA Non trouvéé</v>
      </c>
      <c r="F1446" s="30"/>
      <c r="G1446" s="31"/>
      <c r="H1446" s="13">
        <v>0</v>
      </c>
      <c r="I1446" s="13">
        <v>0</v>
      </c>
      <c r="J1446" s="30"/>
      <c r="K1446" s="37"/>
    </row>
    <row r="1447" spans="3:11" ht="15.5" thickTop="1" thickBot="1" x14ac:dyDescent="0.4">
      <c r="C1447" s="29"/>
      <c r="D1447" s="30"/>
      <c r="E1447" s="106" t="str">
        <f>IFERROR(VLOOKUP($D1447,NUMDIST[],2,FALSE),"DA Non trouvéé")</f>
        <v>DA Non trouvéé</v>
      </c>
      <c r="F1447" s="30"/>
      <c r="G1447" s="31"/>
      <c r="H1447" s="13">
        <v>0</v>
      </c>
      <c r="I1447" s="13">
        <v>0</v>
      </c>
      <c r="J1447" s="30"/>
      <c r="K1447" s="37"/>
    </row>
    <row r="1448" spans="3:11" ht="15.5" thickTop="1" thickBot="1" x14ac:dyDescent="0.4">
      <c r="C1448" s="29"/>
      <c r="D1448" s="30"/>
      <c r="E1448" s="106" t="str">
        <f>IFERROR(VLOOKUP($D1448,NUMDIST[],2,FALSE),"DA Non trouvéé")</f>
        <v>DA Non trouvéé</v>
      </c>
      <c r="F1448" s="30"/>
      <c r="G1448" s="31"/>
      <c r="H1448" s="13">
        <v>0</v>
      </c>
      <c r="I1448" s="13">
        <v>0</v>
      </c>
      <c r="J1448" s="30"/>
      <c r="K1448" s="37"/>
    </row>
    <row r="1449" spans="3:11" ht="15.5" thickTop="1" thickBot="1" x14ac:dyDescent="0.4">
      <c r="C1449" s="29"/>
      <c r="D1449" s="30"/>
      <c r="E1449" s="106" t="str">
        <f>IFERROR(VLOOKUP($D1449,NUMDIST[],2,FALSE),"DA Non trouvéé")</f>
        <v>DA Non trouvéé</v>
      </c>
      <c r="F1449" s="30"/>
      <c r="G1449" s="31"/>
      <c r="H1449" s="13">
        <v>0</v>
      </c>
      <c r="I1449" s="13">
        <v>0</v>
      </c>
      <c r="J1449" s="30"/>
      <c r="K1449" s="37"/>
    </row>
    <row r="1450" spans="3:11" ht="15.5" thickTop="1" thickBot="1" x14ac:dyDescent="0.4">
      <c r="C1450" s="29"/>
      <c r="D1450" s="30"/>
      <c r="E1450" s="106" t="str">
        <f>IFERROR(VLOOKUP($D1450,NUMDIST[],2,FALSE),"DA Non trouvéé")</f>
        <v>DA Non trouvéé</v>
      </c>
      <c r="F1450" s="30"/>
      <c r="G1450" s="31"/>
      <c r="H1450" s="13">
        <v>0</v>
      </c>
      <c r="I1450" s="13">
        <v>0</v>
      </c>
      <c r="J1450" s="30"/>
      <c r="K1450" s="37"/>
    </row>
    <row r="1451" spans="3:11" ht="15.5" thickTop="1" thickBot="1" x14ac:dyDescent="0.4">
      <c r="C1451" s="29"/>
      <c r="D1451" s="30"/>
      <c r="E1451" s="106" t="str">
        <f>IFERROR(VLOOKUP($D1451,NUMDIST[],2,FALSE),"DA Non trouvéé")</f>
        <v>DA Non trouvéé</v>
      </c>
      <c r="F1451" s="30"/>
      <c r="G1451" s="31"/>
      <c r="H1451" s="13">
        <v>0</v>
      </c>
      <c r="I1451" s="13">
        <v>0</v>
      </c>
      <c r="J1451" s="30"/>
      <c r="K1451" s="37"/>
    </row>
    <row r="1452" spans="3:11" ht="15.5" thickTop="1" thickBot="1" x14ac:dyDescent="0.4">
      <c r="C1452" s="29"/>
      <c r="D1452" s="30"/>
      <c r="E1452" s="106" t="str">
        <f>IFERROR(VLOOKUP($D1452,NUMDIST[],2,FALSE),"DA Non trouvéé")</f>
        <v>DA Non trouvéé</v>
      </c>
      <c r="F1452" s="30"/>
      <c r="G1452" s="31"/>
      <c r="H1452" s="13">
        <v>0</v>
      </c>
      <c r="I1452" s="13">
        <v>0</v>
      </c>
      <c r="J1452" s="30"/>
      <c r="K1452" s="37"/>
    </row>
    <row r="1453" spans="3:11" ht="15.5" thickTop="1" thickBot="1" x14ac:dyDescent="0.4">
      <c r="C1453" s="29"/>
      <c r="D1453" s="30"/>
      <c r="E1453" s="106" t="str">
        <f>IFERROR(VLOOKUP($D1453,NUMDIST[],2,FALSE),"DA Non trouvéé")</f>
        <v>DA Non trouvéé</v>
      </c>
      <c r="F1453" s="30"/>
      <c r="G1453" s="31"/>
      <c r="H1453" s="13">
        <v>0</v>
      </c>
      <c r="I1453" s="13">
        <v>0</v>
      </c>
      <c r="J1453" s="30"/>
      <c r="K1453" s="37"/>
    </row>
    <row r="1454" spans="3:11" ht="15.5" thickTop="1" thickBot="1" x14ac:dyDescent="0.4">
      <c r="C1454" s="29"/>
      <c r="D1454" s="30"/>
      <c r="E1454" s="106" t="str">
        <f>IFERROR(VLOOKUP($D1454,NUMDIST[],2,FALSE),"DA Non trouvéé")</f>
        <v>DA Non trouvéé</v>
      </c>
      <c r="F1454" s="30"/>
      <c r="G1454" s="31"/>
      <c r="H1454" s="13">
        <v>0</v>
      </c>
      <c r="I1454" s="13">
        <v>0</v>
      </c>
      <c r="J1454" s="30"/>
      <c r="K1454" s="37"/>
    </row>
    <row r="1455" spans="3:11" ht="15.5" thickTop="1" thickBot="1" x14ac:dyDescent="0.4">
      <c r="C1455" s="29"/>
      <c r="D1455" s="30"/>
      <c r="E1455" s="106" t="str">
        <f>IFERROR(VLOOKUP($D1455,NUMDIST[],2,FALSE),"DA Non trouvéé")</f>
        <v>DA Non trouvéé</v>
      </c>
      <c r="F1455" s="30"/>
      <c r="G1455" s="31"/>
      <c r="H1455" s="13">
        <v>0</v>
      </c>
      <c r="I1455" s="13">
        <v>0</v>
      </c>
      <c r="J1455" s="30"/>
      <c r="K1455" s="37"/>
    </row>
    <row r="1456" spans="3:11" ht="15.5" thickTop="1" thickBot="1" x14ac:dyDescent="0.4">
      <c r="C1456" s="29"/>
      <c r="D1456" s="30"/>
      <c r="E1456" s="106" t="str">
        <f>IFERROR(VLOOKUP($D1456,NUMDIST[],2,FALSE),"DA Non trouvéé")</f>
        <v>DA Non trouvéé</v>
      </c>
      <c r="F1456" s="30"/>
      <c r="G1456" s="31"/>
      <c r="H1456" s="13">
        <v>0</v>
      </c>
      <c r="I1456" s="13">
        <v>0</v>
      </c>
      <c r="J1456" s="30"/>
      <c r="K1456" s="37"/>
    </row>
    <row r="1457" spans="3:11" ht="15.5" thickTop="1" thickBot="1" x14ac:dyDescent="0.4">
      <c r="C1457" s="29"/>
      <c r="D1457" s="30"/>
      <c r="E1457" s="106" t="str">
        <f>IFERROR(VLOOKUP($D1457,NUMDIST[],2,FALSE),"DA Non trouvéé")</f>
        <v>DA Non trouvéé</v>
      </c>
      <c r="F1457" s="30"/>
      <c r="G1457" s="31"/>
      <c r="H1457" s="13">
        <v>0</v>
      </c>
      <c r="I1457" s="13">
        <v>0</v>
      </c>
      <c r="J1457" s="30"/>
      <c r="K1457" s="37"/>
    </row>
    <row r="1458" spans="3:11" ht="15.5" thickTop="1" thickBot="1" x14ac:dyDescent="0.4">
      <c r="C1458" s="29"/>
      <c r="D1458" s="30"/>
      <c r="E1458" s="106" t="str">
        <f>IFERROR(VLOOKUP($D1458,NUMDIST[],2,FALSE),"DA Non trouvéé")</f>
        <v>DA Non trouvéé</v>
      </c>
      <c r="F1458" s="30"/>
      <c r="G1458" s="31"/>
      <c r="H1458" s="13">
        <v>0</v>
      </c>
      <c r="I1458" s="13">
        <v>0</v>
      </c>
      <c r="J1458" s="30"/>
      <c r="K1458" s="37"/>
    </row>
    <row r="1459" spans="3:11" ht="15.5" thickTop="1" thickBot="1" x14ac:dyDescent="0.4">
      <c r="C1459" s="29"/>
      <c r="D1459" s="30"/>
      <c r="E1459" s="106" t="str">
        <f>IFERROR(VLOOKUP($D1459,NUMDIST[],2,FALSE),"DA Non trouvéé")</f>
        <v>DA Non trouvéé</v>
      </c>
      <c r="F1459" s="30"/>
      <c r="G1459" s="31"/>
      <c r="H1459" s="13">
        <v>0</v>
      </c>
      <c r="I1459" s="13">
        <v>0</v>
      </c>
      <c r="J1459" s="30"/>
      <c r="K1459" s="37"/>
    </row>
    <row r="1460" spans="3:11" ht="15.5" thickTop="1" thickBot="1" x14ac:dyDescent="0.4">
      <c r="C1460" s="29"/>
      <c r="D1460" s="30"/>
      <c r="E1460" s="106" t="str">
        <f>IFERROR(VLOOKUP($D1460,NUMDIST[],2,FALSE),"DA Non trouvéé")</f>
        <v>DA Non trouvéé</v>
      </c>
      <c r="F1460" s="30"/>
      <c r="G1460" s="31"/>
      <c r="H1460" s="13">
        <v>0</v>
      </c>
      <c r="I1460" s="13">
        <v>0</v>
      </c>
      <c r="J1460" s="30"/>
      <c r="K1460" s="37"/>
    </row>
    <row r="1461" spans="3:11" ht="15.5" thickTop="1" thickBot="1" x14ac:dyDescent="0.4">
      <c r="C1461" s="29"/>
      <c r="D1461" s="30"/>
      <c r="E1461" s="106" t="str">
        <f>IFERROR(VLOOKUP($D1461,NUMDIST[],2,FALSE),"DA Non trouvéé")</f>
        <v>DA Non trouvéé</v>
      </c>
      <c r="F1461" s="30"/>
      <c r="G1461" s="31"/>
      <c r="H1461" s="13">
        <v>0</v>
      </c>
      <c r="I1461" s="13">
        <v>0</v>
      </c>
      <c r="J1461" s="30"/>
      <c r="K1461" s="37"/>
    </row>
    <row r="1462" spans="3:11" ht="15.5" thickTop="1" thickBot="1" x14ac:dyDescent="0.4">
      <c r="C1462" s="29"/>
      <c r="D1462" s="30"/>
      <c r="E1462" s="106" t="str">
        <f>IFERROR(VLOOKUP($D1462,NUMDIST[],2,FALSE),"DA Non trouvéé")</f>
        <v>DA Non trouvéé</v>
      </c>
      <c r="F1462" s="30"/>
      <c r="G1462" s="31"/>
      <c r="H1462" s="13">
        <v>0</v>
      </c>
      <c r="I1462" s="13">
        <v>0</v>
      </c>
      <c r="J1462" s="30"/>
      <c r="K1462" s="37"/>
    </row>
    <row r="1463" spans="3:11" ht="15.5" thickTop="1" thickBot="1" x14ac:dyDescent="0.4">
      <c r="C1463" s="29"/>
      <c r="D1463" s="30"/>
      <c r="E1463" s="106" t="str">
        <f>IFERROR(VLOOKUP($D1463,NUMDIST[],2,FALSE),"DA Non trouvéé")</f>
        <v>DA Non trouvéé</v>
      </c>
      <c r="F1463" s="30"/>
      <c r="G1463" s="31"/>
      <c r="H1463" s="13">
        <v>0</v>
      </c>
      <c r="I1463" s="13">
        <v>0</v>
      </c>
      <c r="J1463" s="30"/>
      <c r="K1463" s="37"/>
    </row>
    <row r="1464" spans="3:11" ht="15.5" thickTop="1" thickBot="1" x14ac:dyDescent="0.4">
      <c r="C1464" s="29"/>
      <c r="D1464" s="30"/>
      <c r="E1464" s="106" t="str">
        <f>IFERROR(VLOOKUP($D1464,NUMDIST[],2,FALSE),"DA Non trouvéé")</f>
        <v>DA Non trouvéé</v>
      </c>
      <c r="F1464" s="30"/>
      <c r="G1464" s="31"/>
      <c r="H1464" s="13">
        <v>0</v>
      </c>
      <c r="I1464" s="13">
        <v>0</v>
      </c>
      <c r="J1464" s="30"/>
      <c r="K1464" s="37"/>
    </row>
    <row r="1465" spans="3:11" ht="15.5" thickTop="1" thickBot="1" x14ac:dyDescent="0.4">
      <c r="C1465" s="29"/>
      <c r="D1465" s="30"/>
      <c r="E1465" s="106" t="str">
        <f>IFERROR(VLOOKUP($D1465,NUMDIST[],2,FALSE),"DA Non trouvéé")</f>
        <v>DA Non trouvéé</v>
      </c>
      <c r="F1465" s="30"/>
      <c r="G1465" s="31"/>
      <c r="H1465" s="13">
        <v>0</v>
      </c>
      <c r="I1465" s="13">
        <v>0</v>
      </c>
      <c r="J1465" s="30"/>
      <c r="K1465" s="37"/>
    </row>
    <row r="1466" spans="3:11" ht="15.5" thickTop="1" thickBot="1" x14ac:dyDescent="0.4">
      <c r="C1466" s="29"/>
      <c r="D1466" s="30"/>
      <c r="E1466" s="106" t="str">
        <f>IFERROR(VLOOKUP($D1466,NUMDIST[],2,FALSE),"DA Non trouvéé")</f>
        <v>DA Non trouvéé</v>
      </c>
      <c r="F1466" s="30"/>
      <c r="G1466" s="31"/>
      <c r="H1466" s="13">
        <v>0</v>
      </c>
      <c r="I1466" s="13">
        <v>0</v>
      </c>
      <c r="J1466" s="30"/>
      <c r="K1466" s="37"/>
    </row>
    <row r="1467" spans="3:11" ht="15.5" thickTop="1" thickBot="1" x14ac:dyDescent="0.4">
      <c r="C1467" s="29"/>
      <c r="D1467" s="30"/>
      <c r="E1467" s="106" t="str">
        <f>IFERROR(VLOOKUP($D1467,NUMDIST[],2,FALSE),"DA Non trouvéé")</f>
        <v>DA Non trouvéé</v>
      </c>
      <c r="F1467" s="30"/>
      <c r="G1467" s="31"/>
      <c r="H1467" s="13">
        <v>0</v>
      </c>
      <c r="I1467" s="13">
        <v>0</v>
      </c>
      <c r="J1467" s="30"/>
      <c r="K1467" s="37"/>
    </row>
    <row r="1468" spans="3:11" ht="15.5" thickTop="1" thickBot="1" x14ac:dyDescent="0.4">
      <c r="C1468" s="29"/>
      <c r="D1468" s="30"/>
      <c r="E1468" s="106" t="str">
        <f>IFERROR(VLOOKUP($D1468,NUMDIST[],2,FALSE),"DA Non trouvéé")</f>
        <v>DA Non trouvéé</v>
      </c>
      <c r="F1468" s="30"/>
      <c r="G1468" s="31"/>
      <c r="H1468" s="13">
        <v>0</v>
      </c>
      <c r="I1468" s="13">
        <v>0</v>
      </c>
      <c r="J1468" s="30"/>
      <c r="K1468" s="37"/>
    </row>
    <row r="1469" spans="3:11" ht="15.5" thickTop="1" thickBot="1" x14ac:dyDescent="0.4">
      <c r="C1469" s="29"/>
      <c r="D1469" s="30"/>
      <c r="E1469" s="106" t="str">
        <f>IFERROR(VLOOKUP($D1469,NUMDIST[],2,FALSE),"DA Non trouvéé")</f>
        <v>DA Non trouvéé</v>
      </c>
      <c r="F1469" s="30"/>
      <c r="G1469" s="31"/>
      <c r="H1469" s="13">
        <v>0</v>
      </c>
      <c r="I1469" s="13">
        <v>0</v>
      </c>
      <c r="J1469" s="30"/>
      <c r="K1469" s="37"/>
    </row>
    <row r="1470" spans="3:11" ht="15.5" thickTop="1" thickBot="1" x14ac:dyDescent="0.4">
      <c r="C1470" s="29"/>
      <c r="D1470" s="30"/>
      <c r="E1470" s="106" t="str">
        <f>IFERROR(VLOOKUP($D1470,NUMDIST[],2,FALSE),"DA Non trouvéé")</f>
        <v>DA Non trouvéé</v>
      </c>
      <c r="F1470" s="30"/>
      <c r="G1470" s="31"/>
      <c r="H1470" s="13">
        <v>0</v>
      </c>
      <c r="I1470" s="13">
        <v>0</v>
      </c>
      <c r="J1470" s="30"/>
      <c r="K1470" s="37"/>
    </row>
    <row r="1471" spans="3:11" ht="15.5" thickTop="1" thickBot="1" x14ac:dyDescent="0.4">
      <c r="C1471" s="29"/>
      <c r="D1471" s="30"/>
      <c r="E1471" s="106" t="str">
        <f>IFERROR(VLOOKUP($D1471,NUMDIST[],2,FALSE),"DA Non trouvéé")</f>
        <v>DA Non trouvéé</v>
      </c>
      <c r="F1471" s="30"/>
      <c r="G1471" s="31"/>
      <c r="H1471" s="13">
        <v>0</v>
      </c>
      <c r="I1471" s="13">
        <v>0</v>
      </c>
      <c r="J1471" s="30"/>
      <c r="K1471" s="37"/>
    </row>
    <row r="1472" spans="3:11" ht="15.5" thickTop="1" thickBot="1" x14ac:dyDescent="0.4">
      <c r="C1472" s="29"/>
      <c r="D1472" s="30"/>
      <c r="E1472" s="106" t="str">
        <f>IFERROR(VLOOKUP($D1472,NUMDIST[],2,FALSE),"DA Non trouvéé")</f>
        <v>DA Non trouvéé</v>
      </c>
      <c r="F1472" s="30"/>
      <c r="G1472" s="31"/>
      <c r="H1472" s="13">
        <v>0</v>
      </c>
      <c r="I1472" s="13">
        <v>0</v>
      </c>
      <c r="J1472" s="30"/>
      <c r="K1472" s="37"/>
    </row>
    <row r="1473" spans="3:11" ht="15.5" thickTop="1" thickBot="1" x14ac:dyDescent="0.4">
      <c r="C1473" s="29"/>
      <c r="D1473" s="30"/>
      <c r="E1473" s="106" t="str">
        <f>IFERROR(VLOOKUP($D1473,NUMDIST[],2,FALSE),"DA Non trouvéé")</f>
        <v>DA Non trouvéé</v>
      </c>
      <c r="F1473" s="30"/>
      <c r="G1473" s="31"/>
      <c r="H1473" s="13">
        <v>0</v>
      </c>
      <c r="I1473" s="13">
        <v>0</v>
      </c>
      <c r="J1473" s="30"/>
      <c r="K1473" s="37"/>
    </row>
    <row r="1474" spans="3:11" ht="15.5" thickTop="1" thickBot="1" x14ac:dyDescent="0.4">
      <c r="C1474" s="29"/>
      <c r="D1474" s="30"/>
      <c r="E1474" s="106" t="str">
        <f>IFERROR(VLOOKUP($D1474,NUMDIST[],2,FALSE),"DA Non trouvéé")</f>
        <v>DA Non trouvéé</v>
      </c>
      <c r="F1474" s="30"/>
      <c r="G1474" s="31"/>
      <c r="H1474" s="13">
        <v>0</v>
      </c>
      <c r="I1474" s="13">
        <v>0</v>
      </c>
      <c r="J1474" s="30"/>
      <c r="K1474" s="37"/>
    </row>
    <row r="1475" spans="3:11" ht="15.5" thickTop="1" thickBot="1" x14ac:dyDescent="0.4">
      <c r="C1475" s="29"/>
      <c r="D1475" s="30"/>
      <c r="E1475" s="106" t="str">
        <f>IFERROR(VLOOKUP($D1475,NUMDIST[],2,FALSE),"DA Non trouvéé")</f>
        <v>DA Non trouvéé</v>
      </c>
      <c r="F1475" s="30"/>
      <c r="G1475" s="31"/>
      <c r="H1475" s="13">
        <v>0</v>
      </c>
      <c r="I1475" s="13">
        <v>0</v>
      </c>
      <c r="J1475" s="30"/>
      <c r="K1475" s="37"/>
    </row>
    <row r="1476" spans="3:11" ht="15.5" thickTop="1" thickBot="1" x14ac:dyDescent="0.4">
      <c r="C1476" s="29"/>
      <c r="D1476" s="30"/>
      <c r="E1476" s="106" t="str">
        <f>IFERROR(VLOOKUP($D1476,NUMDIST[],2,FALSE),"DA Non trouvéé")</f>
        <v>DA Non trouvéé</v>
      </c>
      <c r="F1476" s="30"/>
      <c r="G1476" s="31"/>
      <c r="H1476" s="13">
        <v>0</v>
      </c>
      <c r="I1476" s="13">
        <v>0</v>
      </c>
      <c r="J1476" s="30"/>
      <c r="K1476" s="37"/>
    </row>
    <row r="1477" spans="3:11" ht="15.5" thickTop="1" thickBot="1" x14ac:dyDescent="0.4">
      <c r="C1477" s="29"/>
      <c r="D1477" s="30"/>
      <c r="E1477" s="106" t="str">
        <f>IFERROR(VLOOKUP($D1477,NUMDIST[],2,FALSE),"DA Non trouvéé")</f>
        <v>DA Non trouvéé</v>
      </c>
      <c r="F1477" s="30"/>
      <c r="G1477" s="31"/>
      <c r="H1477" s="13">
        <v>0</v>
      </c>
      <c r="I1477" s="13">
        <v>0</v>
      </c>
      <c r="J1477" s="30"/>
      <c r="K1477" s="37"/>
    </row>
    <row r="1478" spans="3:11" ht="15.5" thickTop="1" thickBot="1" x14ac:dyDescent="0.4">
      <c r="C1478" s="29"/>
      <c r="D1478" s="30"/>
      <c r="E1478" s="106" t="str">
        <f>IFERROR(VLOOKUP($D1478,NUMDIST[],2,FALSE),"DA Non trouvéé")</f>
        <v>DA Non trouvéé</v>
      </c>
      <c r="F1478" s="30"/>
      <c r="G1478" s="31"/>
      <c r="H1478" s="13">
        <v>0</v>
      </c>
      <c r="I1478" s="13">
        <v>0</v>
      </c>
      <c r="J1478" s="30"/>
      <c r="K1478" s="37"/>
    </row>
    <row r="1479" spans="3:11" ht="15.5" thickTop="1" thickBot="1" x14ac:dyDescent="0.4">
      <c r="C1479" s="29"/>
      <c r="D1479" s="30"/>
      <c r="E1479" s="106" t="str">
        <f>IFERROR(VLOOKUP($D1479,NUMDIST[],2,FALSE),"DA Non trouvéé")</f>
        <v>DA Non trouvéé</v>
      </c>
      <c r="F1479" s="30"/>
      <c r="G1479" s="31"/>
      <c r="H1479" s="13">
        <v>0</v>
      </c>
      <c r="I1479" s="13">
        <v>0</v>
      </c>
      <c r="J1479" s="30"/>
      <c r="K1479" s="37"/>
    </row>
    <row r="1480" spans="3:11" ht="15.5" thickTop="1" thickBot="1" x14ac:dyDescent="0.4">
      <c r="C1480" s="29"/>
      <c r="D1480" s="30"/>
      <c r="E1480" s="106" t="str">
        <f>IFERROR(VLOOKUP($D1480,NUMDIST[],2,FALSE),"DA Non trouvéé")</f>
        <v>DA Non trouvéé</v>
      </c>
      <c r="F1480" s="30"/>
      <c r="G1480" s="31"/>
      <c r="H1480" s="13">
        <v>0</v>
      </c>
      <c r="I1480" s="13">
        <v>0</v>
      </c>
      <c r="J1480" s="30"/>
      <c r="K1480" s="37"/>
    </row>
    <row r="1481" spans="3:11" ht="15.5" thickTop="1" thickBot="1" x14ac:dyDescent="0.4">
      <c r="C1481" s="29"/>
      <c r="D1481" s="30"/>
      <c r="E1481" s="106" t="str">
        <f>IFERROR(VLOOKUP($D1481,NUMDIST[],2,FALSE),"DA Non trouvéé")</f>
        <v>DA Non trouvéé</v>
      </c>
      <c r="F1481" s="30"/>
      <c r="G1481" s="31"/>
      <c r="H1481" s="13">
        <v>0</v>
      </c>
      <c r="I1481" s="13">
        <v>0</v>
      </c>
      <c r="J1481" s="30"/>
      <c r="K1481" s="37"/>
    </row>
    <row r="1482" spans="3:11" ht="15.5" thickTop="1" thickBot="1" x14ac:dyDescent="0.4">
      <c r="C1482" s="29"/>
      <c r="D1482" s="30"/>
      <c r="E1482" s="106" t="str">
        <f>IFERROR(VLOOKUP($D1482,NUMDIST[],2,FALSE),"DA Non trouvéé")</f>
        <v>DA Non trouvéé</v>
      </c>
      <c r="F1482" s="30"/>
      <c r="G1482" s="31"/>
      <c r="H1482" s="13">
        <v>0</v>
      </c>
      <c r="I1482" s="13">
        <v>0</v>
      </c>
      <c r="J1482" s="30"/>
      <c r="K1482" s="37"/>
    </row>
    <row r="1483" spans="3:11" ht="15.5" thickTop="1" thickBot="1" x14ac:dyDescent="0.4">
      <c r="C1483" s="29"/>
      <c r="D1483" s="30"/>
      <c r="E1483" s="106" t="str">
        <f>IFERROR(VLOOKUP($D1483,NUMDIST[],2,FALSE),"DA Non trouvéé")</f>
        <v>DA Non trouvéé</v>
      </c>
      <c r="F1483" s="30"/>
      <c r="G1483" s="31"/>
      <c r="H1483" s="13">
        <v>0</v>
      </c>
      <c r="I1483" s="13">
        <v>0</v>
      </c>
      <c r="J1483" s="30"/>
      <c r="K1483" s="37"/>
    </row>
    <row r="1484" spans="3:11" ht="15.5" thickTop="1" thickBot="1" x14ac:dyDescent="0.4">
      <c r="C1484" s="29"/>
      <c r="D1484" s="30"/>
      <c r="E1484" s="106" t="str">
        <f>IFERROR(VLOOKUP($D1484,NUMDIST[],2,FALSE),"DA Non trouvéé")</f>
        <v>DA Non trouvéé</v>
      </c>
      <c r="F1484" s="30"/>
      <c r="G1484" s="31"/>
      <c r="H1484" s="13">
        <v>0</v>
      </c>
      <c r="I1484" s="13">
        <v>0</v>
      </c>
      <c r="J1484" s="30"/>
      <c r="K1484" s="37"/>
    </row>
    <row r="1485" spans="3:11" ht="15.5" thickTop="1" thickBot="1" x14ac:dyDescent="0.4">
      <c r="C1485" s="29"/>
      <c r="D1485" s="30"/>
      <c r="E1485" s="106" t="str">
        <f>IFERROR(VLOOKUP($D1485,NUMDIST[],2,FALSE),"DA Non trouvéé")</f>
        <v>DA Non trouvéé</v>
      </c>
      <c r="F1485" s="30"/>
      <c r="G1485" s="31"/>
      <c r="H1485" s="13">
        <v>0</v>
      </c>
      <c r="I1485" s="13">
        <v>0</v>
      </c>
      <c r="J1485" s="30"/>
      <c r="K1485" s="37"/>
    </row>
    <row r="1486" spans="3:11" ht="15.5" thickTop="1" thickBot="1" x14ac:dyDescent="0.4">
      <c r="C1486" s="29"/>
      <c r="D1486" s="30"/>
      <c r="E1486" s="106" t="str">
        <f>IFERROR(VLOOKUP($D1486,NUMDIST[],2,FALSE),"DA Non trouvéé")</f>
        <v>DA Non trouvéé</v>
      </c>
      <c r="F1486" s="30"/>
      <c r="G1486" s="31"/>
      <c r="H1486" s="13">
        <v>0</v>
      </c>
      <c r="I1486" s="13">
        <v>0</v>
      </c>
      <c r="J1486" s="30"/>
      <c r="K1486" s="37"/>
    </row>
    <row r="1487" spans="3:11" ht="15.5" thickTop="1" thickBot="1" x14ac:dyDescent="0.4">
      <c r="C1487" s="29"/>
      <c r="D1487" s="30"/>
      <c r="E1487" s="106" t="str">
        <f>IFERROR(VLOOKUP($D1487,NUMDIST[],2,FALSE),"DA Non trouvéé")</f>
        <v>DA Non trouvéé</v>
      </c>
      <c r="F1487" s="30"/>
      <c r="G1487" s="31"/>
      <c r="H1487" s="13">
        <v>0</v>
      </c>
      <c r="I1487" s="13">
        <v>0</v>
      </c>
      <c r="J1487" s="30"/>
      <c r="K1487" s="37"/>
    </row>
    <row r="1488" spans="3:11" ht="15.5" thickTop="1" thickBot="1" x14ac:dyDescent="0.4">
      <c r="C1488" s="29"/>
      <c r="D1488" s="30"/>
      <c r="E1488" s="106" t="str">
        <f>IFERROR(VLOOKUP($D1488,NUMDIST[],2,FALSE),"DA Non trouvéé")</f>
        <v>DA Non trouvéé</v>
      </c>
      <c r="F1488" s="30"/>
      <c r="G1488" s="31"/>
      <c r="H1488" s="13">
        <v>0</v>
      </c>
      <c r="I1488" s="13">
        <v>0</v>
      </c>
      <c r="J1488" s="30"/>
      <c r="K1488" s="37"/>
    </row>
    <row r="1489" spans="3:11" ht="15.5" thickTop="1" thickBot="1" x14ac:dyDescent="0.4">
      <c r="C1489" s="29"/>
      <c r="D1489" s="30"/>
      <c r="E1489" s="106" t="str">
        <f>IFERROR(VLOOKUP($D1489,NUMDIST[],2,FALSE),"DA Non trouvéé")</f>
        <v>DA Non trouvéé</v>
      </c>
      <c r="F1489" s="30"/>
      <c r="G1489" s="31"/>
      <c r="H1489" s="13">
        <v>0</v>
      </c>
      <c r="I1489" s="13">
        <v>0</v>
      </c>
      <c r="J1489" s="30"/>
      <c r="K1489" s="37"/>
    </row>
    <row r="1490" spans="3:11" ht="15.5" thickTop="1" thickBot="1" x14ac:dyDescent="0.4">
      <c r="C1490" s="29"/>
      <c r="D1490" s="30"/>
      <c r="E1490" s="106" t="str">
        <f>IFERROR(VLOOKUP($D1490,NUMDIST[],2,FALSE),"DA Non trouvéé")</f>
        <v>DA Non trouvéé</v>
      </c>
      <c r="F1490" s="30"/>
      <c r="G1490" s="31"/>
      <c r="H1490" s="13">
        <v>0</v>
      </c>
      <c r="I1490" s="13">
        <v>0</v>
      </c>
      <c r="J1490" s="30"/>
      <c r="K1490" s="37"/>
    </row>
    <row r="1491" spans="3:11" ht="15.5" thickTop="1" thickBot="1" x14ac:dyDescent="0.4">
      <c r="C1491" s="29"/>
      <c r="D1491" s="30"/>
      <c r="E1491" s="106" t="str">
        <f>IFERROR(VLOOKUP($D1491,NUMDIST[],2,FALSE),"DA Non trouvéé")</f>
        <v>DA Non trouvéé</v>
      </c>
      <c r="F1491" s="30"/>
      <c r="G1491" s="31"/>
      <c r="H1491" s="13">
        <v>0</v>
      </c>
      <c r="I1491" s="13">
        <v>0</v>
      </c>
      <c r="J1491" s="30"/>
      <c r="K1491" s="37"/>
    </row>
    <row r="1492" spans="3:11" ht="15.5" thickTop="1" thickBot="1" x14ac:dyDescent="0.4">
      <c r="C1492" s="29"/>
      <c r="D1492" s="30"/>
      <c r="E1492" s="106" t="str">
        <f>IFERROR(VLOOKUP($D1492,NUMDIST[],2,FALSE),"DA Non trouvéé")</f>
        <v>DA Non trouvéé</v>
      </c>
      <c r="F1492" s="30"/>
      <c r="G1492" s="31"/>
      <c r="H1492" s="13">
        <v>0</v>
      </c>
      <c r="I1492" s="13">
        <v>0</v>
      </c>
      <c r="J1492" s="30"/>
      <c r="K1492" s="37"/>
    </row>
    <row r="1493" spans="3:11" ht="15.5" thickTop="1" thickBot="1" x14ac:dyDescent="0.4">
      <c r="C1493" s="29"/>
      <c r="D1493" s="30"/>
      <c r="E1493" s="106" t="str">
        <f>IFERROR(VLOOKUP($D1493,NUMDIST[],2,FALSE),"DA Non trouvéé")</f>
        <v>DA Non trouvéé</v>
      </c>
      <c r="F1493" s="30"/>
      <c r="G1493" s="31"/>
      <c r="H1493" s="13">
        <v>0</v>
      </c>
      <c r="I1493" s="13">
        <v>0</v>
      </c>
      <c r="J1493" s="30"/>
      <c r="K1493" s="37"/>
    </row>
    <row r="1494" spans="3:11" ht="15.5" thickTop="1" thickBot="1" x14ac:dyDescent="0.4">
      <c r="C1494" s="29"/>
      <c r="D1494" s="30"/>
      <c r="E1494" s="106" t="str">
        <f>IFERROR(VLOOKUP($D1494,NUMDIST[],2,FALSE),"DA Non trouvéé")</f>
        <v>DA Non trouvéé</v>
      </c>
      <c r="F1494" s="30"/>
      <c r="G1494" s="31"/>
      <c r="H1494" s="13">
        <v>0</v>
      </c>
      <c r="I1494" s="13">
        <v>0</v>
      </c>
      <c r="J1494" s="30"/>
      <c r="K1494" s="37"/>
    </row>
    <row r="1495" spans="3:11" ht="15.5" thickTop="1" thickBot="1" x14ac:dyDescent="0.4">
      <c r="C1495" s="29"/>
      <c r="D1495" s="30"/>
      <c r="E1495" s="106" t="str">
        <f>IFERROR(VLOOKUP($D1495,NUMDIST[],2,FALSE),"DA Non trouvéé")</f>
        <v>DA Non trouvéé</v>
      </c>
      <c r="F1495" s="30"/>
      <c r="G1495" s="31"/>
      <c r="H1495" s="13">
        <v>0</v>
      </c>
      <c r="I1495" s="13">
        <v>0</v>
      </c>
      <c r="J1495" s="30"/>
      <c r="K1495" s="37"/>
    </row>
    <row r="1496" spans="3:11" ht="15.5" thickTop="1" thickBot="1" x14ac:dyDescent="0.4">
      <c r="C1496" s="29"/>
      <c r="D1496" s="30"/>
      <c r="E1496" s="106" t="str">
        <f>IFERROR(VLOOKUP($D1496,NUMDIST[],2,FALSE),"DA Non trouvéé")</f>
        <v>DA Non trouvéé</v>
      </c>
      <c r="F1496" s="30"/>
      <c r="G1496" s="31"/>
      <c r="H1496" s="13">
        <v>0</v>
      </c>
      <c r="I1496" s="13">
        <v>0</v>
      </c>
      <c r="J1496" s="30"/>
      <c r="K1496" s="37"/>
    </row>
    <row r="1497" spans="3:11" ht="15.5" thickTop="1" thickBot="1" x14ac:dyDescent="0.4">
      <c r="C1497" s="29"/>
      <c r="D1497" s="30"/>
      <c r="E1497" s="106" t="str">
        <f>IFERROR(VLOOKUP($D1497,NUMDIST[],2,FALSE),"DA Non trouvéé")</f>
        <v>DA Non trouvéé</v>
      </c>
      <c r="F1497" s="30"/>
      <c r="G1497" s="31"/>
      <c r="H1497" s="13">
        <v>0</v>
      </c>
      <c r="I1497" s="13">
        <v>0</v>
      </c>
      <c r="J1497" s="30"/>
      <c r="K1497" s="37"/>
    </row>
    <row r="1498" spans="3:11" ht="15.5" thickTop="1" thickBot="1" x14ac:dyDescent="0.4">
      <c r="C1498" s="29"/>
      <c r="D1498" s="30"/>
      <c r="E1498" s="106" t="str">
        <f>IFERROR(VLOOKUP($D1498,NUMDIST[],2,FALSE),"DA Non trouvéé")</f>
        <v>DA Non trouvéé</v>
      </c>
      <c r="F1498" s="30"/>
      <c r="G1498" s="31"/>
      <c r="H1498" s="13">
        <v>0</v>
      </c>
      <c r="I1498" s="13">
        <v>0</v>
      </c>
      <c r="J1498" s="30"/>
      <c r="K1498" s="37"/>
    </row>
    <row r="1499" spans="3:11" ht="15.5" thickTop="1" thickBot="1" x14ac:dyDescent="0.4">
      <c r="C1499" s="29"/>
      <c r="D1499" s="30"/>
      <c r="E1499" s="106" t="str">
        <f>IFERROR(VLOOKUP($D1499,NUMDIST[],2,FALSE),"DA Non trouvéé")</f>
        <v>DA Non trouvéé</v>
      </c>
      <c r="F1499" s="30"/>
      <c r="G1499" s="31"/>
      <c r="H1499" s="13">
        <v>0</v>
      </c>
      <c r="I1499" s="13">
        <v>0</v>
      </c>
      <c r="J1499" s="30"/>
      <c r="K1499" s="37"/>
    </row>
    <row r="1500" spans="3:11" ht="15.5" thickTop="1" thickBot="1" x14ac:dyDescent="0.4">
      <c r="C1500" s="29"/>
      <c r="D1500" s="30"/>
      <c r="E1500" s="106" t="str">
        <f>IFERROR(VLOOKUP($D1500,NUMDIST[],2,FALSE),"DA Non trouvéé")</f>
        <v>DA Non trouvéé</v>
      </c>
      <c r="F1500" s="30"/>
      <c r="G1500" s="31"/>
      <c r="H1500" s="13">
        <v>0</v>
      </c>
      <c r="I1500" s="13">
        <v>0</v>
      </c>
      <c r="J1500" s="30"/>
      <c r="K1500" s="37"/>
    </row>
    <row r="1501" spans="3:11" ht="15.5" thickTop="1" thickBot="1" x14ac:dyDescent="0.4">
      <c r="C1501" s="29"/>
      <c r="D1501" s="30"/>
      <c r="E1501" s="106" t="str">
        <f>IFERROR(VLOOKUP($D1501,NUMDIST[],2,FALSE),"DA Non trouvéé")</f>
        <v>DA Non trouvéé</v>
      </c>
      <c r="F1501" s="30"/>
      <c r="G1501" s="31"/>
      <c r="H1501" s="13">
        <v>0</v>
      </c>
      <c r="I1501" s="13">
        <v>0</v>
      </c>
      <c r="J1501" s="30"/>
      <c r="K1501" s="37"/>
    </row>
    <row r="1502" spans="3:11" ht="15.5" thickTop="1" thickBot="1" x14ac:dyDescent="0.4">
      <c r="C1502" s="29"/>
      <c r="D1502" s="30"/>
      <c r="E1502" s="106" t="str">
        <f>IFERROR(VLOOKUP($D1502,NUMDIST[],2,FALSE),"DA Non trouvéé")</f>
        <v>DA Non trouvéé</v>
      </c>
      <c r="F1502" s="30"/>
      <c r="G1502" s="31"/>
      <c r="H1502" s="13">
        <v>0</v>
      </c>
      <c r="I1502" s="13">
        <v>0</v>
      </c>
      <c r="J1502" s="30"/>
      <c r="K1502" s="37"/>
    </row>
    <row r="1503" spans="3:11" ht="15.5" thickTop="1" thickBot="1" x14ac:dyDescent="0.4">
      <c r="C1503" s="29"/>
      <c r="D1503" s="30"/>
      <c r="E1503" s="106" t="str">
        <f>IFERROR(VLOOKUP($D1503,NUMDIST[],2,FALSE),"DA Non trouvéé")</f>
        <v>DA Non trouvéé</v>
      </c>
      <c r="F1503" s="30"/>
      <c r="G1503" s="31"/>
      <c r="H1503" s="13">
        <v>0</v>
      </c>
      <c r="I1503" s="13">
        <v>0</v>
      </c>
      <c r="J1503" s="30"/>
      <c r="K1503" s="37"/>
    </row>
    <row r="1504" spans="3:11" ht="15.5" thickTop="1" thickBot="1" x14ac:dyDescent="0.4">
      <c r="C1504" s="29"/>
      <c r="D1504" s="30"/>
      <c r="E1504" s="106" t="str">
        <f>IFERROR(VLOOKUP($D1504,NUMDIST[],2,FALSE),"DA Non trouvéé")</f>
        <v>DA Non trouvéé</v>
      </c>
      <c r="F1504" s="30"/>
      <c r="G1504" s="31"/>
      <c r="H1504" s="13">
        <v>0</v>
      </c>
      <c r="I1504" s="13">
        <v>0</v>
      </c>
      <c r="J1504" s="30"/>
      <c r="K1504" s="37"/>
    </row>
    <row r="1505" spans="3:11" ht="15.5" thickTop="1" thickBot="1" x14ac:dyDescent="0.4">
      <c r="C1505" s="29"/>
      <c r="D1505" s="30"/>
      <c r="E1505" s="106" t="str">
        <f>IFERROR(VLOOKUP($D1505,NUMDIST[],2,FALSE),"DA Non trouvéé")</f>
        <v>DA Non trouvéé</v>
      </c>
      <c r="F1505" s="30"/>
      <c r="G1505" s="31"/>
      <c r="H1505" s="13">
        <v>0</v>
      </c>
      <c r="I1505" s="13">
        <v>0</v>
      </c>
      <c r="J1505" s="30"/>
      <c r="K1505" s="37"/>
    </row>
    <row r="1506" spans="3:11" ht="15.5" thickTop="1" thickBot="1" x14ac:dyDescent="0.4">
      <c r="C1506" s="29"/>
      <c r="D1506" s="30"/>
      <c r="E1506" s="106" t="str">
        <f>IFERROR(VLOOKUP($D1506,NUMDIST[],2,FALSE),"DA Non trouvéé")</f>
        <v>DA Non trouvéé</v>
      </c>
      <c r="F1506" s="30"/>
      <c r="G1506" s="31"/>
      <c r="H1506" s="13">
        <v>0</v>
      </c>
      <c r="I1506" s="13">
        <v>0</v>
      </c>
      <c r="J1506" s="30"/>
      <c r="K1506" s="37"/>
    </row>
    <row r="1507" spans="3:11" ht="15.5" thickTop="1" thickBot="1" x14ac:dyDescent="0.4">
      <c r="C1507" s="29"/>
      <c r="D1507" s="30"/>
      <c r="E1507" s="106" t="str">
        <f>IFERROR(VLOOKUP($D1507,NUMDIST[],2,FALSE),"DA Non trouvéé")</f>
        <v>DA Non trouvéé</v>
      </c>
      <c r="F1507" s="30"/>
      <c r="G1507" s="31"/>
      <c r="H1507" s="13">
        <v>0</v>
      </c>
      <c r="I1507" s="13">
        <v>0</v>
      </c>
      <c r="J1507" s="30"/>
      <c r="K1507" s="37"/>
    </row>
    <row r="1508" spans="3:11" ht="15.5" thickTop="1" thickBot="1" x14ac:dyDescent="0.4">
      <c r="C1508" s="29"/>
      <c r="D1508" s="30"/>
      <c r="E1508" s="106" t="str">
        <f>IFERROR(VLOOKUP($D1508,NUMDIST[],2,FALSE),"DA Non trouvéé")</f>
        <v>DA Non trouvéé</v>
      </c>
      <c r="F1508" s="30"/>
      <c r="G1508" s="31"/>
      <c r="H1508" s="13">
        <v>0</v>
      </c>
      <c r="I1508" s="13">
        <v>0</v>
      </c>
      <c r="J1508" s="30"/>
      <c r="K1508" s="37"/>
    </row>
    <row r="1509" spans="3:11" ht="15.5" thickTop="1" thickBot="1" x14ac:dyDescent="0.4">
      <c r="C1509" s="29"/>
      <c r="D1509" s="30"/>
      <c r="E1509" s="106" t="str">
        <f>IFERROR(VLOOKUP($D1509,NUMDIST[],2,FALSE),"DA Non trouvéé")</f>
        <v>DA Non trouvéé</v>
      </c>
      <c r="F1509" s="30"/>
      <c r="G1509" s="31"/>
      <c r="H1509" s="13">
        <v>0</v>
      </c>
      <c r="I1509" s="13">
        <v>0</v>
      </c>
      <c r="J1509" s="30"/>
      <c r="K1509" s="37"/>
    </row>
    <row r="1510" spans="3:11" ht="15.5" thickTop="1" thickBot="1" x14ac:dyDescent="0.4">
      <c r="C1510" s="29"/>
      <c r="D1510" s="30"/>
      <c r="E1510" s="106" t="str">
        <f>IFERROR(VLOOKUP($D1510,NUMDIST[],2,FALSE),"DA Non trouvéé")</f>
        <v>DA Non trouvéé</v>
      </c>
      <c r="F1510" s="30"/>
      <c r="G1510" s="31"/>
      <c r="H1510" s="13">
        <v>0</v>
      </c>
      <c r="I1510" s="13">
        <v>0</v>
      </c>
      <c r="J1510" s="30"/>
      <c r="K1510" s="37"/>
    </row>
    <row r="1511" spans="3:11" ht="15.5" thickTop="1" thickBot="1" x14ac:dyDescent="0.4">
      <c r="C1511" s="29"/>
      <c r="D1511" s="30"/>
      <c r="E1511" s="106" t="str">
        <f>IFERROR(VLOOKUP($D1511,NUMDIST[],2,FALSE),"DA Non trouvéé")</f>
        <v>DA Non trouvéé</v>
      </c>
      <c r="F1511" s="30"/>
      <c r="G1511" s="31"/>
      <c r="H1511" s="13">
        <v>0</v>
      </c>
      <c r="I1511" s="13">
        <v>0</v>
      </c>
      <c r="J1511" s="30"/>
      <c r="K1511" s="37"/>
    </row>
    <row r="1512" spans="3:11" ht="15.5" thickTop="1" thickBot="1" x14ac:dyDescent="0.4">
      <c r="C1512" s="29"/>
      <c r="D1512" s="30"/>
      <c r="E1512" s="106" t="str">
        <f>IFERROR(VLOOKUP($D1512,NUMDIST[],2,FALSE),"DA Non trouvéé")</f>
        <v>DA Non trouvéé</v>
      </c>
      <c r="F1512" s="30"/>
      <c r="G1512" s="31"/>
      <c r="H1512" s="13">
        <v>0</v>
      </c>
      <c r="I1512" s="13">
        <v>0</v>
      </c>
      <c r="J1512" s="30"/>
      <c r="K1512" s="37"/>
    </row>
    <row r="1513" spans="3:11" ht="15.5" thickTop="1" thickBot="1" x14ac:dyDescent="0.4">
      <c r="C1513" s="29"/>
      <c r="D1513" s="30"/>
      <c r="E1513" s="106" t="str">
        <f>IFERROR(VLOOKUP($D1513,NUMDIST[],2,FALSE),"DA Non trouvéé")</f>
        <v>DA Non trouvéé</v>
      </c>
      <c r="F1513" s="30"/>
      <c r="G1513" s="31"/>
      <c r="H1513" s="13">
        <v>0</v>
      </c>
      <c r="I1513" s="13">
        <v>0</v>
      </c>
      <c r="J1513" s="30"/>
      <c r="K1513" s="37"/>
    </row>
    <row r="1514" spans="3:11" ht="15.5" thickTop="1" thickBot="1" x14ac:dyDescent="0.4">
      <c r="C1514" s="29"/>
      <c r="D1514" s="30"/>
      <c r="E1514" s="106" t="str">
        <f>IFERROR(VLOOKUP($D1514,NUMDIST[],2,FALSE),"DA Non trouvéé")</f>
        <v>DA Non trouvéé</v>
      </c>
      <c r="F1514" s="30"/>
      <c r="G1514" s="31"/>
      <c r="H1514" s="13">
        <v>0</v>
      </c>
      <c r="I1514" s="13">
        <v>0</v>
      </c>
      <c r="J1514" s="30"/>
      <c r="K1514" s="37"/>
    </row>
    <row r="1515" spans="3:11" ht="15.5" thickTop="1" thickBot="1" x14ac:dyDescent="0.4">
      <c r="C1515" s="29"/>
      <c r="D1515" s="30"/>
      <c r="E1515" s="106" t="str">
        <f>IFERROR(VLOOKUP($D1515,NUMDIST[],2,FALSE),"DA Non trouvéé")</f>
        <v>DA Non trouvéé</v>
      </c>
      <c r="F1515" s="30"/>
      <c r="G1515" s="31"/>
      <c r="H1515" s="13">
        <v>0</v>
      </c>
      <c r="I1515" s="13">
        <v>0</v>
      </c>
      <c r="J1515" s="30"/>
      <c r="K1515" s="37"/>
    </row>
    <row r="1516" spans="3:11" ht="15.5" thickTop="1" thickBot="1" x14ac:dyDescent="0.4">
      <c r="C1516" s="29"/>
      <c r="D1516" s="30"/>
      <c r="E1516" s="106" t="str">
        <f>IFERROR(VLOOKUP($D1516,NUMDIST[],2,FALSE),"DA Non trouvéé")</f>
        <v>DA Non trouvéé</v>
      </c>
      <c r="F1516" s="30"/>
      <c r="G1516" s="31"/>
      <c r="H1516" s="13">
        <v>0</v>
      </c>
      <c r="I1516" s="13">
        <v>0</v>
      </c>
      <c r="J1516" s="30"/>
      <c r="K1516" s="37"/>
    </row>
    <row r="1517" spans="3:11" ht="15.5" thickTop="1" thickBot="1" x14ac:dyDescent="0.4">
      <c r="C1517" s="29"/>
      <c r="D1517" s="30"/>
      <c r="E1517" s="106" t="str">
        <f>IFERROR(VLOOKUP($D1517,NUMDIST[],2,FALSE),"DA Non trouvéé")</f>
        <v>DA Non trouvéé</v>
      </c>
      <c r="F1517" s="30"/>
      <c r="G1517" s="31"/>
      <c r="H1517" s="13">
        <v>0</v>
      </c>
      <c r="I1517" s="13">
        <v>0</v>
      </c>
      <c r="J1517" s="30"/>
      <c r="K1517" s="37"/>
    </row>
    <row r="1518" spans="3:11" ht="15.5" thickTop="1" thickBot="1" x14ac:dyDescent="0.4">
      <c r="C1518" s="29"/>
      <c r="D1518" s="30"/>
      <c r="E1518" s="106" t="str">
        <f>IFERROR(VLOOKUP($D1518,NUMDIST[],2,FALSE),"DA Non trouvéé")</f>
        <v>DA Non trouvéé</v>
      </c>
      <c r="F1518" s="30"/>
      <c r="G1518" s="31"/>
      <c r="H1518" s="13">
        <v>0</v>
      </c>
      <c r="I1518" s="13">
        <v>0</v>
      </c>
      <c r="J1518" s="30"/>
      <c r="K1518" s="37"/>
    </row>
    <row r="1519" spans="3:11" ht="15.5" thickTop="1" thickBot="1" x14ac:dyDescent="0.4">
      <c r="C1519" s="29"/>
      <c r="D1519" s="30"/>
      <c r="E1519" s="106" t="str">
        <f>IFERROR(VLOOKUP($D1519,NUMDIST[],2,FALSE),"DA Non trouvéé")</f>
        <v>DA Non trouvéé</v>
      </c>
      <c r="F1519" s="30"/>
      <c r="G1519" s="31"/>
      <c r="H1519" s="13">
        <v>0</v>
      </c>
      <c r="I1519" s="13">
        <v>0</v>
      </c>
      <c r="J1519" s="30"/>
      <c r="K1519" s="37"/>
    </row>
    <row r="1520" spans="3:11" ht="15.5" thickTop="1" thickBot="1" x14ac:dyDescent="0.4">
      <c r="C1520" s="29"/>
      <c r="D1520" s="30"/>
      <c r="E1520" s="106" t="str">
        <f>IFERROR(VLOOKUP($D1520,NUMDIST[],2,FALSE),"DA Non trouvéé")</f>
        <v>DA Non trouvéé</v>
      </c>
      <c r="F1520" s="30"/>
      <c r="G1520" s="31"/>
      <c r="H1520" s="13">
        <v>0</v>
      </c>
      <c r="I1520" s="13">
        <v>0</v>
      </c>
      <c r="J1520" s="30"/>
      <c r="K1520" s="37"/>
    </row>
    <row r="1521" spans="3:11" ht="15.5" thickTop="1" thickBot="1" x14ac:dyDescent="0.4">
      <c r="C1521" s="29"/>
      <c r="D1521" s="30"/>
      <c r="E1521" s="106" t="str">
        <f>IFERROR(VLOOKUP($D1521,NUMDIST[],2,FALSE),"DA Non trouvéé")</f>
        <v>DA Non trouvéé</v>
      </c>
      <c r="F1521" s="30"/>
      <c r="G1521" s="31"/>
      <c r="H1521" s="13">
        <v>0</v>
      </c>
      <c r="I1521" s="13">
        <v>0</v>
      </c>
      <c r="J1521" s="30"/>
      <c r="K1521" s="37"/>
    </row>
    <row r="1522" spans="3:11" ht="15.5" thickTop="1" thickBot="1" x14ac:dyDescent="0.4">
      <c r="C1522" s="29"/>
      <c r="D1522" s="30"/>
      <c r="E1522" s="106" t="str">
        <f>IFERROR(VLOOKUP($D1522,NUMDIST[],2,FALSE),"DA Non trouvéé")</f>
        <v>DA Non trouvéé</v>
      </c>
      <c r="F1522" s="30"/>
      <c r="G1522" s="31"/>
      <c r="H1522" s="13">
        <v>0</v>
      </c>
      <c r="I1522" s="13">
        <v>0</v>
      </c>
      <c r="J1522" s="30"/>
      <c r="K1522" s="37"/>
    </row>
    <row r="1523" spans="3:11" ht="15.5" thickTop="1" thickBot="1" x14ac:dyDescent="0.4">
      <c r="C1523" s="29"/>
      <c r="D1523" s="30"/>
      <c r="E1523" s="106" t="str">
        <f>IFERROR(VLOOKUP($D1523,NUMDIST[],2,FALSE),"DA Non trouvéé")</f>
        <v>DA Non trouvéé</v>
      </c>
      <c r="F1523" s="30"/>
      <c r="G1523" s="31"/>
      <c r="H1523" s="13">
        <v>0</v>
      </c>
      <c r="I1523" s="13">
        <v>0</v>
      </c>
      <c r="J1523" s="30"/>
      <c r="K1523" s="37"/>
    </row>
    <row r="1524" spans="3:11" ht="15.5" thickTop="1" thickBot="1" x14ac:dyDescent="0.4">
      <c r="C1524" s="29"/>
      <c r="D1524" s="30"/>
      <c r="E1524" s="106" t="str">
        <f>IFERROR(VLOOKUP($D1524,NUMDIST[],2,FALSE),"DA Non trouvéé")</f>
        <v>DA Non trouvéé</v>
      </c>
      <c r="F1524" s="30"/>
      <c r="G1524" s="31"/>
      <c r="H1524" s="13">
        <v>0</v>
      </c>
      <c r="I1524" s="13">
        <v>0</v>
      </c>
      <c r="J1524" s="30"/>
      <c r="K1524" s="37"/>
    </row>
    <row r="1525" spans="3:11" ht="15.5" thickTop="1" thickBot="1" x14ac:dyDescent="0.4">
      <c r="C1525" s="29"/>
      <c r="D1525" s="30"/>
      <c r="E1525" s="106" t="str">
        <f>IFERROR(VLOOKUP($D1525,NUMDIST[],2,FALSE),"DA Non trouvéé")</f>
        <v>DA Non trouvéé</v>
      </c>
      <c r="F1525" s="30"/>
      <c r="G1525" s="31"/>
      <c r="H1525" s="13">
        <v>0</v>
      </c>
      <c r="I1525" s="13">
        <v>0</v>
      </c>
      <c r="J1525" s="30"/>
      <c r="K1525" s="37"/>
    </row>
    <row r="1526" spans="3:11" ht="15.5" thickTop="1" thickBot="1" x14ac:dyDescent="0.4">
      <c r="C1526" s="29"/>
      <c r="D1526" s="30"/>
      <c r="E1526" s="106" t="str">
        <f>IFERROR(VLOOKUP($D1526,NUMDIST[],2,FALSE),"DA Non trouvéé")</f>
        <v>DA Non trouvéé</v>
      </c>
      <c r="F1526" s="30"/>
      <c r="G1526" s="31"/>
      <c r="H1526" s="13">
        <v>0</v>
      </c>
      <c r="I1526" s="13">
        <v>0</v>
      </c>
      <c r="J1526" s="30"/>
      <c r="K1526" s="37"/>
    </row>
    <row r="1527" spans="3:11" ht="15.5" thickTop="1" thickBot="1" x14ac:dyDescent="0.4">
      <c r="C1527" s="29"/>
      <c r="D1527" s="30"/>
      <c r="E1527" s="106" t="str">
        <f>IFERROR(VLOOKUP($D1527,NUMDIST[],2,FALSE),"DA Non trouvéé")</f>
        <v>DA Non trouvéé</v>
      </c>
      <c r="F1527" s="30"/>
      <c r="G1527" s="31"/>
      <c r="H1527" s="13">
        <v>0</v>
      </c>
      <c r="I1527" s="13">
        <v>0</v>
      </c>
      <c r="J1527" s="30"/>
      <c r="K1527" s="37"/>
    </row>
    <row r="1528" spans="3:11" ht="15.5" thickTop="1" thickBot="1" x14ac:dyDescent="0.4">
      <c r="C1528" s="29"/>
      <c r="D1528" s="30"/>
      <c r="E1528" s="106" t="str">
        <f>IFERROR(VLOOKUP($D1528,NUMDIST[],2,FALSE),"DA Non trouvéé")</f>
        <v>DA Non trouvéé</v>
      </c>
      <c r="F1528" s="30"/>
      <c r="G1528" s="31"/>
      <c r="H1528" s="13">
        <v>0</v>
      </c>
      <c r="I1528" s="13">
        <v>0</v>
      </c>
      <c r="J1528" s="30"/>
      <c r="K1528" s="37"/>
    </row>
    <row r="1529" spans="3:11" ht="15.5" thickTop="1" thickBot="1" x14ac:dyDescent="0.4">
      <c r="C1529" s="29"/>
      <c r="D1529" s="30"/>
      <c r="E1529" s="106" t="str">
        <f>IFERROR(VLOOKUP($D1529,NUMDIST[],2,FALSE),"DA Non trouvéé")</f>
        <v>DA Non trouvéé</v>
      </c>
      <c r="F1529" s="30"/>
      <c r="G1529" s="31"/>
      <c r="H1529" s="13">
        <v>0</v>
      </c>
      <c r="I1529" s="13">
        <v>0</v>
      </c>
      <c r="J1529" s="30"/>
      <c r="K1529" s="37"/>
    </row>
    <row r="1530" spans="3:11" ht="15.5" thickTop="1" thickBot="1" x14ac:dyDescent="0.4">
      <c r="C1530" s="29"/>
      <c r="D1530" s="30"/>
      <c r="E1530" s="106" t="str">
        <f>IFERROR(VLOOKUP($D1530,NUMDIST[],2,FALSE),"DA Non trouvéé")</f>
        <v>DA Non trouvéé</v>
      </c>
      <c r="F1530" s="30"/>
      <c r="G1530" s="31"/>
      <c r="H1530" s="13">
        <v>0</v>
      </c>
      <c r="I1530" s="13">
        <v>0</v>
      </c>
      <c r="J1530" s="30"/>
      <c r="K1530" s="37"/>
    </row>
    <row r="1531" spans="3:11" ht="15.5" thickTop="1" thickBot="1" x14ac:dyDescent="0.4">
      <c r="C1531" s="29"/>
      <c r="D1531" s="30"/>
      <c r="E1531" s="106" t="str">
        <f>IFERROR(VLOOKUP($D1531,NUMDIST[],2,FALSE),"DA Non trouvéé")</f>
        <v>DA Non trouvéé</v>
      </c>
      <c r="F1531" s="30"/>
      <c r="G1531" s="31"/>
      <c r="H1531" s="13">
        <v>0</v>
      </c>
      <c r="I1531" s="13">
        <v>0</v>
      </c>
      <c r="J1531" s="30"/>
      <c r="K1531" s="37"/>
    </row>
    <row r="1532" spans="3:11" ht="15.5" thickTop="1" thickBot="1" x14ac:dyDescent="0.4">
      <c r="C1532" s="29"/>
      <c r="D1532" s="30"/>
      <c r="E1532" s="106" t="str">
        <f>IFERROR(VLOOKUP($D1532,NUMDIST[],2,FALSE),"DA Non trouvéé")</f>
        <v>DA Non trouvéé</v>
      </c>
      <c r="F1532" s="30"/>
      <c r="G1532" s="31"/>
      <c r="H1532" s="13">
        <v>0</v>
      </c>
      <c r="I1532" s="13">
        <v>0</v>
      </c>
      <c r="J1532" s="30"/>
      <c r="K1532" s="37"/>
    </row>
    <row r="1533" spans="3:11" ht="15.5" thickTop="1" thickBot="1" x14ac:dyDescent="0.4">
      <c r="C1533" s="29"/>
      <c r="D1533" s="30"/>
      <c r="E1533" s="106" t="str">
        <f>IFERROR(VLOOKUP($D1533,NUMDIST[],2,FALSE),"DA Non trouvéé")</f>
        <v>DA Non trouvéé</v>
      </c>
      <c r="F1533" s="30"/>
      <c r="G1533" s="31"/>
      <c r="H1533" s="13">
        <v>0</v>
      </c>
      <c r="I1533" s="13">
        <v>0</v>
      </c>
      <c r="J1533" s="30"/>
      <c r="K1533" s="37"/>
    </row>
    <row r="1534" spans="3:11" ht="15.5" thickTop="1" thickBot="1" x14ac:dyDescent="0.4">
      <c r="C1534" s="29"/>
      <c r="D1534" s="30"/>
      <c r="E1534" s="106" t="str">
        <f>IFERROR(VLOOKUP($D1534,NUMDIST[],2,FALSE),"DA Non trouvéé")</f>
        <v>DA Non trouvéé</v>
      </c>
      <c r="F1534" s="30"/>
      <c r="G1534" s="31"/>
      <c r="H1534" s="13">
        <v>0</v>
      </c>
      <c r="I1534" s="13">
        <v>0</v>
      </c>
      <c r="J1534" s="30"/>
      <c r="K1534" s="37"/>
    </row>
    <row r="1535" spans="3:11" ht="15.5" thickTop="1" thickBot="1" x14ac:dyDescent="0.4">
      <c r="C1535" s="29"/>
      <c r="D1535" s="30"/>
      <c r="E1535" s="106" t="str">
        <f>IFERROR(VLOOKUP($D1535,NUMDIST[],2,FALSE),"DA Non trouvéé")</f>
        <v>DA Non trouvéé</v>
      </c>
      <c r="F1535" s="30"/>
      <c r="G1535" s="31"/>
      <c r="H1535" s="13">
        <v>0</v>
      </c>
      <c r="I1535" s="13">
        <v>0</v>
      </c>
      <c r="J1535" s="30"/>
      <c r="K1535" s="37"/>
    </row>
    <row r="1536" spans="3:11" ht="15.5" thickTop="1" thickBot="1" x14ac:dyDescent="0.4">
      <c r="C1536" s="29"/>
      <c r="D1536" s="30"/>
      <c r="E1536" s="106" t="str">
        <f>IFERROR(VLOOKUP($D1536,NUMDIST[],2,FALSE),"DA Non trouvéé")</f>
        <v>DA Non trouvéé</v>
      </c>
      <c r="F1536" s="30"/>
      <c r="G1536" s="31"/>
      <c r="H1536" s="13">
        <v>0</v>
      </c>
      <c r="I1536" s="13">
        <v>0</v>
      </c>
      <c r="J1536" s="30"/>
      <c r="K1536" s="37"/>
    </row>
    <row r="1537" spans="3:11" ht="15.5" thickTop="1" thickBot="1" x14ac:dyDescent="0.4">
      <c r="C1537" s="29"/>
      <c r="D1537" s="30"/>
      <c r="E1537" s="106" t="str">
        <f>IFERROR(VLOOKUP($D1537,NUMDIST[],2,FALSE),"DA Non trouvéé")</f>
        <v>DA Non trouvéé</v>
      </c>
      <c r="F1537" s="30"/>
      <c r="G1537" s="31"/>
      <c r="H1537" s="13">
        <v>0</v>
      </c>
      <c r="I1537" s="13">
        <v>0</v>
      </c>
      <c r="J1537" s="30"/>
      <c r="K1537" s="37"/>
    </row>
    <row r="1538" spans="3:11" ht="15.5" thickTop="1" thickBot="1" x14ac:dyDescent="0.4">
      <c r="C1538" s="29"/>
      <c r="D1538" s="30"/>
      <c r="E1538" s="106" t="str">
        <f>IFERROR(VLOOKUP($D1538,NUMDIST[],2,FALSE),"DA Non trouvéé")</f>
        <v>DA Non trouvéé</v>
      </c>
      <c r="F1538" s="30"/>
      <c r="G1538" s="31"/>
      <c r="H1538" s="13">
        <v>0</v>
      </c>
      <c r="I1538" s="13">
        <v>0</v>
      </c>
      <c r="J1538" s="30"/>
      <c r="K1538" s="37"/>
    </row>
    <row r="1539" spans="3:11" ht="15.5" thickTop="1" thickBot="1" x14ac:dyDescent="0.4">
      <c r="C1539" s="29"/>
      <c r="D1539" s="30"/>
      <c r="E1539" s="106" t="str">
        <f>IFERROR(VLOOKUP($D1539,NUMDIST[],2,FALSE),"DA Non trouvéé")</f>
        <v>DA Non trouvéé</v>
      </c>
      <c r="F1539" s="30"/>
      <c r="G1539" s="31"/>
      <c r="H1539" s="13">
        <v>0</v>
      </c>
      <c r="I1539" s="13">
        <v>0</v>
      </c>
      <c r="J1539" s="30"/>
      <c r="K1539" s="37"/>
    </row>
    <row r="1540" spans="3:11" ht="15.5" thickTop="1" thickBot="1" x14ac:dyDescent="0.4">
      <c r="C1540" s="29"/>
      <c r="D1540" s="30"/>
      <c r="E1540" s="106" t="str">
        <f>IFERROR(VLOOKUP($D1540,NUMDIST[],2,FALSE),"DA Non trouvéé")</f>
        <v>DA Non trouvéé</v>
      </c>
      <c r="F1540" s="30"/>
      <c r="G1540" s="31"/>
      <c r="H1540" s="13">
        <v>0</v>
      </c>
      <c r="I1540" s="13">
        <v>0</v>
      </c>
      <c r="J1540" s="30"/>
      <c r="K1540" s="37"/>
    </row>
    <row r="1541" spans="3:11" ht="15.5" thickTop="1" thickBot="1" x14ac:dyDescent="0.4">
      <c r="C1541" s="29"/>
      <c r="D1541" s="30"/>
      <c r="E1541" s="106" t="str">
        <f>IFERROR(VLOOKUP($D1541,NUMDIST[],2,FALSE),"DA Non trouvéé")</f>
        <v>DA Non trouvéé</v>
      </c>
      <c r="F1541" s="30"/>
      <c r="G1541" s="31"/>
      <c r="H1541" s="13">
        <v>0</v>
      </c>
      <c r="I1541" s="13">
        <v>0</v>
      </c>
      <c r="J1541" s="30"/>
      <c r="K1541" s="37"/>
    </row>
    <row r="1542" spans="3:11" ht="15.5" thickTop="1" thickBot="1" x14ac:dyDescent="0.4">
      <c r="C1542" s="29"/>
      <c r="D1542" s="30"/>
      <c r="E1542" s="106" t="str">
        <f>IFERROR(VLOOKUP($D1542,NUMDIST[],2,FALSE),"DA Non trouvéé")</f>
        <v>DA Non trouvéé</v>
      </c>
      <c r="F1542" s="30"/>
      <c r="G1542" s="31"/>
      <c r="H1542" s="13">
        <v>0</v>
      </c>
      <c r="I1542" s="13">
        <v>0</v>
      </c>
      <c r="J1542" s="30"/>
      <c r="K1542" s="37"/>
    </row>
    <row r="1543" spans="3:11" ht="15.5" thickTop="1" thickBot="1" x14ac:dyDescent="0.4">
      <c r="C1543" s="29"/>
      <c r="D1543" s="30"/>
      <c r="E1543" s="106" t="str">
        <f>IFERROR(VLOOKUP($D1543,NUMDIST[],2,FALSE),"DA Non trouvéé")</f>
        <v>DA Non trouvéé</v>
      </c>
      <c r="F1543" s="30"/>
      <c r="G1543" s="31"/>
      <c r="H1543" s="13">
        <v>0</v>
      </c>
      <c r="I1543" s="13">
        <v>0</v>
      </c>
      <c r="J1543" s="30"/>
      <c r="K1543" s="37"/>
    </row>
    <row r="1544" spans="3:11" ht="15.5" thickTop="1" thickBot="1" x14ac:dyDescent="0.4">
      <c r="C1544" s="29"/>
      <c r="D1544" s="30"/>
      <c r="E1544" s="106" t="str">
        <f>IFERROR(VLOOKUP($D1544,NUMDIST[],2,FALSE),"DA Non trouvéé")</f>
        <v>DA Non trouvéé</v>
      </c>
      <c r="F1544" s="30"/>
      <c r="G1544" s="31"/>
      <c r="H1544" s="13">
        <v>0</v>
      </c>
      <c r="I1544" s="13">
        <v>0</v>
      </c>
      <c r="J1544" s="30"/>
      <c r="K1544" s="37"/>
    </row>
    <row r="1545" spans="3:11" ht="15.5" thickTop="1" thickBot="1" x14ac:dyDescent="0.4">
      <c r="C1545" s="29"/>
      <c r="D1545" s="30"/>
      <c r="E1545" s="106" t="str">
        <f>IFERROR(VLOOKUP($D1545,NUMDIST[],2,FALSE),"DA Non trouvéé")</f>
        <v>DA Non trouvéé</v>
      </c>
      <c r="F1545" s="30"/>
      <c r="G1545" s="31"/>
      <c r="H1545" s="13">
        <v>0</v>
      </c>
      <c r="I1545" s="13">
        <v>0</v>
      </c>
      <c r="J1545" s="30"/>
      <c r="K1545" s="37"/>
    </row>
    <row r="1546" spans="3:11" ht="15.5" thickTop="1" thickBot="1" x14ac:dyDescent="0.4">
      <c r="C1546" s="29"/>
      <c r="D1546" s="30"/>
      <c r="E1546" s="106" t="str">
        <f>IFERROR(VLOOKUP($D1546,NUMDIST[],2,FALSE),"DA Non trouvéé")</f>
        <v>DA Non trouvéé</v>
      </c>
      <c r="F1546" s="30"/>
      <c r="G1546" s="31"/>
      <c r="H1546" s="13">
        <v>0</v>
      </c>
      <c r="I1546" s="13">
        <v>0</v>
      </c>
      <c r="J1546" s="30"/>
      <c r="K1546" s="37"/>
    </row>
    <row r="1547" spans="3:11" ht="15.5" thickTop="1" thickBot="1" x14ac:dyDescent="0.4">
      <c r="C1547" s="29"/>
      <c r="D1547" s="30"/>
      <c r="E1547" s="106" t="str">
        <f>IFERROR(VLOOKUP($D1547,NUMDIST[],2,FALSE),"DA Non trouvéé")</f>
        <v>DA Non trouvéé</v>
      </c>
      <c r="F1547" s="30"/>
      <c r="G1547" s="31"/>
      <c r="H1547" s="13">
        <v>0</v>
      </c>
      <c r="I1547" s="13">
        <v>0</v>
      </c>
      <c r="J1547" s="30"/>
      <c r="K1547" s="37"/>
    </row>
    <row r="1548" spans="3:11" ht="15.5" thickTop="1" thickBot="1" x14ac:dyDescent="0.4">
      <c r="C1548" s="29"/>
      <c r="D1548" s="30"/>
      <c r="E1548" s="106" t="str">
        <f>IFERROR(VLOOKUP($D1548,NUMDIST[],2,FALSE),"DA Non trouvéé")</f>
        <v>DA Non trouvéé</v>
      </c>
      <c r="F1548" s="30"/>
      <c r="G1548" s="31"/>
      <c r="H1548" s="13">
        <v>0</v>
      </c>
      <c r="I1548" s="13">
        <v>0</v>
      </c>
      <c r="J1548" s="30"/>
      <c r="K1548" s="37"/>
    </row>
    <row r="1549" spans="3:11" ht="15.5" thickTop="1" thickBot="1" x14ac:dyDescent="0.4">
      <c r="C1549" s="29"/>
      <c r="D1549" s="30"/>
      <c r="E1549" s="106" t="str">
        <f>IFERROR(VLOOKUP($D1549,NUMDIST[],2,FALSE),"DA Non trouvéé")</f>
        <v>DA Non trouvéé</v>
      </c>
      <c r="F1549" s="30"/>
      <c r="G1549" s="31"/>
      <c r="H1549" s="13">
        <v>0</v>
      </c>
      <c r="I1549" s="13">
        <v>0</v>
      </c>
      <c r="J1549" s="30"/>
      <c r="K1549" s="37"/>
    </row>
    <row r="1550" spans="3:11" ht="15.5" thickTop="1" thickBot="1" x14ac:dyDescent="0.4">
      <c r="C1550" s="29"/>
      <c r="D1550" s="30"/>
      <c r="E1550" s="106" t="str">
        <f>IFERROR(VLOOKUP($D1550,NUMDIST[],2,FALSE),"DA Non trouvéé")</f>
        <v>DA Non trouvéé</v>
      </c>
      <c r="F1550" s="30"/>
      <c r="G1550" s="31"/>
      <c r="H1550" s="13">
        <v>0</v>
      </c>
      <c r="I1550" s="13">
        <v>0</v>
      </c>
      <c r="J1550" s="30"/>
      <c r="K1550" s="37"/>
    </row>
    <row r="1551" spans="3:11" ht="15.5" thickTop="1" thickBot="1" x14ac:dyDescent="0.4">
      <c r="C1551" s="29"/>
      <c r="D1551" s="30"/>
      <c r="E1551" s="106" t="str">
        <f>IFERROR(VLOOKUP($D1551,NUMDIST[],2,FALSE),"DA Non trouvéé")</f>
        <v>DA Non trouvéé</v>
      </c>
      <c r="F1551" s="30"/>
      <c r="G1551" s="31"/>
      <c r="H1551" s="13">
        <v>0</v>
      </c>
      <c r="I1551" s="13">
        <v>0</v>
      </c>
      <c r="J1551" s="30"/>
      <c r="K1551" s="37"/>
    </row>
    <row r="1552" spans="3:11" ht="15.5" thickTop="1" thickBot="1" x14ac:dyDescent="0.4">
      <c r="C1552" s="29"/>
      <c r="D1552" s="30"/>
      <c r="E1552" s="106" t="str">
        <f>IFERROR(VLOOKUP($D1552,NUMDIST[],2,FALSE),"DA Non trouvéé")</f>
        <v>DA Non trouvéé</v>
      </c>
      <c r="F1552" s="30"/>
      <c r="G1552" s="31"/>
      <c r="H1552" s="13">
        <v>0</v>
      </c>
      <c r="I1552" s="13">
        <v>0</v>
      </c>
      <c r="J1552" s="30"/>
      <c r="K1552" s="37"/>
    </row>
    <row r="1553" spans="3:11" ht="15.5" thickTop="1" thickBot="1" x14ac:dyDescent="0.4">
      <c r="C1553" s="29"/>
      <c r="D1553" s="30"/>
      <c r="E1553" s="106" t="str">
        <f>IFERROR(VLOOKUP($D1553,NUMDIST[],2,FALSE),"DA Non trouvéé")</f>
        <v>DA Non trouvéé</v>
      </c>
      <c r="F1553" s="30"/>
      <c r="G1553" s="31"/>
      <c r="H1553" s="13">
        <v>0</v>
      </c>
      <c r="I1553" s="13">
        <v>0</v>
      </c>
      <c r="J1553" s="30"/>
      <c r="K1553" s="37"/>
    </row>
    <row r="1554" spans="3:11" ht="15.5" thickTop="1" thickBot="1" x14ac:dyDescent="0.4">
      <c r="C1554" s="29"/>
      <c r="D1554" s="30"/>
      <c r="E1554" s="106" t="str">
        <f>IFERROR(VLOOKUP($D1554,NUMDIST[],2,FALSE),"DA Non trouvéé")</f>
        <v>DA Non trouvéé</v>
      </c>
      <c r="F1554" s="30"/>
      <c r="G1554" s="31"/>
      <c r="H1554" s="13">
        <v>0</v>
      </c>
      <c r="I1554" s="13">
        <v>0</v>
      </c>
      <c r="J1554" s="30"/>
      <c r="K1554" s="37"/>
    </row>
    <row r="1555" spans="3:11" ht="15.5" thickTop="1" thickBot="1" x14ac:dyDescent="0.4">
      <c r="C1555" s="29"/>
      <c r="D1555" s="30"/>
      <c r="E1555" s="106" t="str">
        <f>IFERROR(VLOOKUP($D1555,NUMDIST[],2,FALSE),"DA Non trouvéé")</f>
        <v>DA Non trouvéé</v>
      </c>
      <c r="F1555" s="30"/>
      <c r="G1555" s="31"/>
      <c r="H1555" s="13">
        <v>0</v>
      </c>
      <c r="I1555" s="13">
        <v>0</v>
      </c>
      <c r="J1555" s="30"/>
      <c r="K1555" s="37"/>
    </row>
    <row r="1556" spans="3:11" ht="15.5" thickTop="1" thickBot="1" x14ac:dyDescent="0.4">
      <c r="C1556" s="29"/>
      <c r="D1556" s="30"/>
      <c r="E1556" s="106" t="str">
        <f>IFERROR(VLOOKUP($D1556,NUMDIST[],2,FALSE),"DA Non trouvéé")</f>
        <v>DA Non trouvéé</v>
      </c>
      <c r="F1556" s="30"/>
      <c r="G1556" s="31"/>
      <c r="H1556" s="13">
        <v>0</v>
      </c>
      <c r="I1556" s="13">
        <v>0</v>
      </c>
      <c r="J1556" s="30"/>
      <c r="K1556" s="37"/>
    </row>
    <row r="1557" spans="3:11" ht="15.5" thickTop="1" thickBot="1" x14ac:dyDescent="0.4">
      <c r="C1557" s="29"/>
      <c r="D1557" s="30"/>
      <c r="E1557" s="106" t="str">
        <f>IFERROR(VLOOKUP($D1557,NUMDIST[],2,FALSE),"DA Non trouvéé")</f>
        <v>DA Non trouvéé</v>
      </c>
      <c r="F1557" s="30"/>
      <c r="G1557" s="31"/>
      <c r="H1557" s="13">
        <v>0</v>
      </c>
      <c r="I1557" s="13">
        <v>0</v>
      </c>
      <c r="J1557" s="30"/>
      <c r="K1557" s="37"/>
    </row>
    <row r="1558" spans="3:11" ht="15.5" thickTop="1" thickBot="1" x14ac:dyDescent="0.4">
      <c r="C1558" s="29"/>
      <c r="D1558" s="30"/>
      <c r="E1558" s="106" t="str">
        <f>IFERROR(VLOOKUP($D1558,NUMDIST[],2,FALSE),"DA Non trouvéé")</f>
        <v>DA Non trouvéé</v>
      </c>
      <c r="F1558" s="30"/>
      <c r="G1558" s="31"/>
      <c r="H1558" s="13">
        <v>0</v>
      </c>
      <c r="I1558" s="13">
        <v>0</v>
      </c>
      <c r="J1558" s="30"/>
      <c r="K1558" s="37"/>
    </row>
    <row r="1559" spans="3:11" ht="15.5" thickTop="1" thickBot="1" x14ac:dyDescent="0.4">
      <c r="C1559" s="29"/>
      <c r="D1559" s="30"/>
      <c r="E1559" s="106" t="str">
        <f>IFERROR(VLOOKUP($D1559,NUMDIST[],2,FALSE),"DA Non trouvéé")</f>
        <v>DA Non trouvéé</v>
      </c>
      <c r="F1559" s="30"/>
      <c r="G1559" s="31"/>
      <c r="H1559" s="13">
        <v>0</v>
      </c>
      <c r="I1559" s="13">
        <v>0</v>
      </c>
      <c r="J1559" s="30"/>
      <c r="K1559" s="37"/>
    </row>
    <row r="1560" spans="3:11" ht="15.5" thickTop="1" thickBot="1" x14ac:dyDescent="0.4">
      <c r="C1560" s="29"/>
      <c r="D1560" s="30"/>
      <c r="E1560" s="106" t="str">
        <f>IFERROR(VLOOKUP($D1560,NUMDIST[],2,FALSE),"DA Non trouvéé")</f>
        <v>DA Non trouvéé</v>
      </c>
      <c r="F1560" s="30"/>
      <c r="G1560" s="31"/>
      <c r="H1560" s="13">
        <v>0</v>
      </c>
      <c r="I1560" s="13">
        <v>0</v>
      </c>
      <c r="J1560" s="30"/>
      <c r="K1560" s="37"/>
    </row>
    <row r="1561" spans="3:11" ht="15.5" thickTop="1" thickBot="1" x14ac:dyDescent="0.4">
      <c r="C1561" s="29"/>
      <c r="D1561" s="30"/>
      <c r="E1561" s="106" t="str">
        <f>IFERROR(VLOOKUP($D1561,NUMDIST[],2,FALSE),"DA Non trouvéé")</f>
        <v>DA Non trouvéé</v>
      </c>
      <c r="F1561" s="30"/>
      <c r="G1561" s="31"/>
      <c r="H1561" s="13">
        <v>0</v>
      </c>
      <c r="I1561" s="13">
        <v>0</v>
      </c>
      <c r="J1561" s="30"/>
      <c r="K1561" s="37"/>
    </row>
    <row r="1562" spans="3:11" ht="15.5" thickTop="1" thickBot="1" x14ac:dyDescent="0.4">
      <c r="C1562" s="29"/>
      <c r="D1562" s="30"/>
      <c r="E1562" s="106" t="str">
        <f>IFERROR(VLOOKUP($D1562,NUMDIST[],2,FALSE),"DA Non trouvéé")</f>
        <v>DA Non trouvéé</v>
      </c>
      <c r="F1562" s="30"/>
      <c r="G1562" s="31"/>
      <c r="H1562" s="13">
        <v>0</v>
      </c>
      <c r="I1562" s="13">
        <v>0</v>
      </c>
      <c r="J1562" s="30"/>
      <c r="K1562" s="37"/>
    </row>
    <row r="1563" spans="3:11" ht="15.5" thickTop="1" thickBot="1" x14ac:dyDescent="0.4">
      <c r="C1563" s="29"/>
      <c r="D1563" s="30"/>
      <c r="E1563" s="106" t="str">
        <f>IFERROR(VLOOKUP($D1563,NUMDIST[],2,FALSE),"DA Non trouvéé")</f>
        <v>DA Non trouvéé</v>
      </c>
      <c r="F1563" s="30"/>
      <c r="G1563" s="31"/>
      <c r="H1563" s="13">
        <v>0</v>
      </c>
      <c r="I1563" s="13">
        <v>0</v>
      </c>
      <c r="J1563" s="30"/>
      <c r="K1563" s="37"/>
    </row>
    <row r="1564" spans="3:11" ht="15.5" thickTop="1" thickBot="1" x14ac:dyDescent="0.4">
      <c r="C1564" s="29"/>
      <c r="D1564" s="30"/>
      <c r="E1564" s="106" t="str">
        <f>IFERROR(VLOOKUP($D1564,NUMDIST[],2,FALSE),"DA Non trouvéé")</f>
        <v>DA Non trouvéé</v>
      </c>
      <c r="F1564" s="30"/>
      <c r="G1564" s="31"/>
      <c r="H1564" s="13">
        <v>0</v>
      </c>
      <c r="I1564" s="13">
        <v>0</v>
      </c>
      <c r="J1564" s="30"/>
      <c r="K1564" s="37"/>
    </row>
    <row r="1565" spans="3:11" ht="15.5" thickTop="1" thickBot="1" x14ac:dyDescent="0.4">
      <c r="C1565" s="29"/>
      <c r="D1565" s="30"/>
      <c r="E1565" s="106" t="str">
        <f>IFERROR(VLOOKUP($D1565,NUMDIST[],2,FALSE),"DA Non trouvéé")</f>
        <v>DA Non trouvéé</v>
      </c>
      <c r="F1565" s="30"/>
      <c r="G1565" s="31"/>
      <c r="H1565" s="13">
        <v>0</v>
      </c>
      <c r="I1565" s="13">
        <v>0</v>
      </c>
      <c r="J1565" s="30"/>
      <c r="K1565" s="37"/>
    </row>
    <row r="1566" spans="3:11" ht="15.5" thickTop="1" thickBot="1" x14ac:dyDescent="0.4">
      <c r="C1566" s="29"/>
      <c r="D1566" s="30"/>
      <c r="E1566" s="106" t="str">
        <f>IFERROR(VLOOKUP($D1566,NUMDIST[],2,FALSE),"DA Non trouvéé")</f>
        <v>DA Non trouvéé</v>
      </c>
      <c r="F1566" s="30"/>
      <c r="G1566" s="31"/>
      <c r="H1566" s="13">
        <v>0</v>
      </c>
      <c r="I1566" s="13">
        <v>0</v>
      </c>
      <c r="J1566" s="30"/>
      <c r="K1566" s="37"/>
    </row>
    <row r="1567" spans="3:11" ht="15.5" thickTop="1" thickBot="1" x14ac:dyDescent="0.4">
      <c r="C1567" s="29"/>
      <c r="D1567" s="30"/>
      <c r="E1567" s="106" t="str">
        <f>IFERROR(VLOOKUP($D1567,NUMDIST[],2,FALSE),"DA Non trouvéé")</f>
        <v>DA Non trouvéé</v>
      </c>
      <c r="F1567" s="30"/>
      <c r="G1567" s="31"/>
      <c r="H1567" s="13">
        <v>0</v>
      </c>
      <c r="I1567" s="13">
        <v>0</v>
      </c>
      <c r="J1567" s="30"/>
      <c r="K1567" s="37"/>
    </row>
    <row r="1568" spans="3:11" ht="15.5" thickTop="1" thickBot="1" x14ac:dyDescent="0.4">
      <c r="C1568" s="29"/>
      <c r="D1568" s="30"/>
      <c r="E1568" s="106" t="str">
        <f>IFERROR(VLOOKUP($D1568,NUMDIST[],2,FALSE),"DA Non trouvéé")</f>
        <v>DA Non trouvéé</v>
      </c>
      <c r="F1568" s="30"/>
      <c r="G1568" s="31"/>
      <c r="H1568" s="13">
        <v>0</v>
      </c>
      <c r="I1568" s="13">
        <v>0</v>
      </c>
      <c r="J1568" s="30"/>
      <c r="K1568" s="37"/>
    </row>
    <row r="1569" spans="3:11" ht="15.5" thickTop="1" thickBot="1" x14ac:dyDescent="0.4">
      <c r="C1569" s="29"/>
      <c r="D1569" s="30"/>
      <c r="E1569" s="106" t="str">
        <f>IFERROR(VLOOKUP($D1569,NUMDIST[],2,FALSE),"DA Non trouvéé")</f>
        <v>DA Non trouvéé</v>
      </c>
      <c r="F1569" s="30"/>
      <c r="G1569" s="31"/>
      <c r="H1569" s="13">
        <v>0</v>
      </c>
      <c r="I1569" s="13">
        <v>0</v>
      </c>
      <c r="J1569" s="30"/>
      <c r="K1569" s="37"/>
    </row>
    <row r="1570" spans="3:11" ht="15.5" thickTop="1" thickBot="1" x14ac:dyDescent="0.4">
      <c r="C1570" s="29"/>
      <c r="D1570" s="30"/>
      <c r="E1570" s="106" t="str">
        <f>IFERROR(VLOOKUP($D1570,NUMDIST[],2,FALSE),"DA Non trouvéé")</f>
        <v>DA Non trouvéé</v>
      </c>
      <c r="F1570" s="30"/>
      <c r="G1570" s="31"/>
      <c r="H1570" s="13">
        <v>0</v>
      </c>
      <c r="I1570" s="13">
        <v>0</v>
      </c>
      <c r="J1570" s="30"/>
      <c r="K1570" s="37"/>
    </row>
    <row r="1571" spans="3:11" ht="15.5" thickTop="1" thickBot="1" x14ac:dyDescent="0.4">
      <c r="C1571" s="29"/>
      <c r="D1571" s="30"/>
      <c r="E1571" s="106" t="str">
        <f>IFERROR(VLOOKUP($D1571,NUMDIST[],2,FALSE),"DA Non trouvéé")</f>
        <v>DA Non trouvéé</v>
      </c>
      <c r="F1571" s="30"/>
      <c r="G1571" s="31"/>
      <c r="H1571" s="13">
        <v>0</v>
      </c>
      <c r="I1571" s="13">
        <v>0</v>
      </c>
      <c r="J1571" s="30"/>
      <c r="K1571" s="37"/>
    </row>
    <row r="1572" spans="3:11" ht="15.5" thickTop="1" thickBot="1" x14ac:dyDescent="0.4">
      <c r="C1572" s="29"/>
      <c r="D1572" s="30"/>
      <c r="E1572" s="106" t="str">
        <f>IFERROR(VLOOKUP($D1572,NUMDIST[],2,FALSE),"DA Non trouvéé")</f>
        <v>DA Non trouvéé</v>
      </c>
      <c r="F1572" s="30"/>
      <c r="G1572" s="31"/>
      <c r="H1572" s="13">
        <v>0</v>
      </c>
      <c r="I1572" s="13">
        <v>0</v>
      </c>
      <c r="J1572" s="30"/>
      <c r="K1572" s="37"/>
    </row>
    <row r="1573" spans="3:11" ht="15.5" thickTop="1" thickBot="1" x14ac:dyDescent="0.4">
      <c r="C1573" s="29"/>
      <c r="D1573" s="30"/>
      <c r="E1573" s="106" t="str">
        <f>IFERROR(VLOOKUP($D1573,NUMDIST[],2,FALSE),"DA Non trouvéé")</f>
        <v>DA Non trouvéé</v>
      </c>
      <c r="F1573" s="30"/>
      <c r="G1573" s="31"/>
      <c r="H1573" s="13">
        <v>0</v>
      </c>
      <c r="I1573" s="13">
        <v>0</v>
      </c>
      <c r="J1573" s="30"/>
      <c r="K1573" s="37"/>
    </row>
    <row r="1574" spans="3:11" ht="15.5" thickTop="1" thickBot="1" x14ac:dyDescent="0.4">
      <c r="C1574" s="29"/>
      <c r="D1574" s="30"/>
      <c r="E1574" s="106" t="str">
        <f>IFERROR(VLOOKUP($D1574,NUMDIST[],2,FALSE),"DA Non trouvéé")</f>
        <v>DA Non trouvéé</v>
      </c>
      <c r="F1574" s="30"/>
      <c r="G1574" s="31"/>
      <c r="H1574" s="13">
        <v>0</v>
      </c>
      <c r="I1574" s="13">
        <v>0</v>
      </c>
      <c r="J1574" s="30"/>
      <c r="K1574" s="37"/>
    </row>
    <row r="1575" spans="3:11" ht="15.5" thickTop="1" thickBot="1" x14ac:dyDescent="0.4">
      <c r="C1575" s="29"/>
      <c r="D1575" s="30"/>
      <c r="E1575" s="106" t="str">
        <f>IFERROR(VLOOKUP($D1575,NUMDIST[],2,FALSE),"DA Non trouvéé")</f>
        <v>DA Non trouvéé</v>
      </c>
      <c r="F1575" s="30"/>
      <c r="G1575" s="31"/>
      <c r="H1575" s="13">
        <v>0</v>
      </c>
      <c r="I1575" s="13">
        <v>0</v>
      </c>
      <c r="J1575" s="30"/>
      <c r="K1575" s="37"/>
    </row>
    <row r="1576" spans="3:11" ht="15.5" thickTop="1" thickBot="1" x14ac:dyDescent="0.4">
      <c r="C1576" s="29"/>
      <c r="D1576" s="30"/>
      <c r="E1576" s="106" t="str">
        <f>IFERROR(VLOOKUP($D1576,NUMDIST[],2,FALSE),"DA Non trouvéé")</f>
        <v>DA Non trouvéé</v>
      </c>
      <c r="F1576" s="30"/>
      <c r="G1576" s="31"/>
      <c r="H1576" s="13">
        <v>0</v>
      </c>
      <c r="I1576" s="13">
        <v>0</v>
      </c>
      <c r="J1576" s="30"/>
      <c r="K1576" s="37"/>
    </row>
    <row r="1577" spans="3:11" ht="15.5" thickTop="1" thickBot="1" x14ac:dyDescent="0.4">
      <c r="C1577" s="29"/>
      <c r="D1577" s="30"/>
      <c r="E1577" s="106" t="str">
        <f>IFERROR(VLOOKUP($D1577,NUMDIST[],2,FALSE),"DA Non trouvéé")</f>
        <v>DA Non trouvéé</v>
      </c>
      <c r="F1577" s="30"/>
      <c r="G1577" s="31"/>
      <c r="H1577" s="13">
        <v>0</v>
      </c>
      <c r="I1577" s="13">
        <v>0</v>
      </c>
      <c r="J1577" s="30"/>
      <c r="K1577" s="37"/>
    </row>
    <row r="1578" spans="3:11" ht="15.5" thickTop="1" thickBot="1" x14ac:dyDescent="0.4">
      <c r="C1578" s="29"/>
      <c r="D1578" s="30"/>
      <c r="E1578" s="106" t="str">
        <f>IFERROR(VLOOKUP($D1578,NUMDIST[],2,FALSE),"DA Non trouvéé")</f>
        <v>DA Non trouvéé</v>
      </c>
      <c r="F1578" s="30"/>
      <c r="G1578" s="31"/>
      <c r="H1578" s="13">
        <v>0</v>
      </c>
      <c r="I1578" s="13">
        <v>0</v>
      </c>
      <c r="J1578" s="30"/>
      <c r="K1578" s="37"/>
    </row>
    <row r="1579" spans="3:11" ht="15.5" thickTop="1" thickBot="1" x14ac:dyDescent="0.4">
      <c r="C1579" s="29"/>
      <c r="D1579" s="30"/>
      <c r="E1579" s="106" t="str">
        <f>IFERROR(VLOOKUP($D1579,NUMDIST[],2,FALSE),"DA Non trouvéé")</f>
        <v>DA Non trouvéé</v>
      </c>
      <c r="F1579" s="30"/>
      <c r="G1579" s="31"/>
      <c r="H1579" s="13">
        <v>0</v>
      </c>
      <c r="I1579" s="13">
        <v>0</v>
      </c>
      <c r="J1579" s="30"/>
      <c r="K1579" s="37"/>
    </row>
    <row r="1580" spans="3:11" ht="15.5" thickTop="1" thickBot="1" x14ac:dyDescent="0.4">
      <c r="C1580" s="29"/>
      <c r="D1580" s="30"/>
      <c r="E1580" s="106" t="str">
        <f>IFERROR(VLOOKUP($D1580,NUMDIST[],2,FALSE),"DA Non trouvéé")</f>
        <v>DA Non trouvéé</v>
      </c>
      <c r="F1580" s="30"/>
      <c r="G1580" s="31"/>
      <c r="H1580" s="13">
        <v>0</v>
      </c>
      <c r="I1580" s="13">
        <v>0</v>
      </c>
      <c r="J1580" s="30"/>
      <c r="K1580" s="37"/>
    </row>
    <row r="1581" spans="3:11" ht="15.5" thickTop="1" thickBot="1" x14ac:dyDescent="0.4">
      <c r="C1581" s="29"/>
      <c r="D1581" s="30"/>
      <c r="E1581" s="106" t="str">
        <f>IFERROR(VLOOKUP($D1581,NUMDIST[],2,FALSE),"DA Non trouvéé")</f>
        <v>DA Non trouvéé</v>
      </c>
      <c r="F1581" s="30"/>
      <c r="G1581" s="31"/>
      <c r="H1581" s="13">
        <v>0</v>
      </c>
      <c r="I1581" s="13">
        <v>0</v>
      </c>
      <c r="J1581" s="30"/>
      <c r="K1581" s="37"/>
    </row>
    <row r="1582" spans="3:11" ht="15.5" thickTop="1" thickBot="1" x14ac:dyDescent="0.4">
      <c r="C1582" s="29"/>
      <c r="D1582" s="30"/>
      <c r="E1582" s="106" t="str">
        <f>IFERROR(VLOOKUP($D1582,NUMDIST[],2,FALSE),"DA Non trouvéé")</f>
        <v>DA Non trouvéé</v>
      </c>
      <c r="F1582" s="30"/>
      <c r="G1582" s="31"/>
      <c r="H1582" s="13">
        <v>0</v>
      </c>
      <c r="I1582" s="13">
        <v>0</v>
      </c>
      <c r="J1582" s="30"/>
      <c r="K1582" s="37"/>
    </row>
    <row r="1583" spans="3:11" ht="15.5" thickTop="1" thickBot="1" x14ac:dyDescent="0.4">
      <c r="C1583" s="29"/>
      <c r="D1583" s="30"/>
      <c r="E1583" s="106" t="str">
        <f>IFERROR(VLOOKUP($D1583,NUMDIST[],2,FALSE),"DA Non trouvéé")</f>
        <v>DA Non trouvéé</v>
      </c>
      <c r="F1583" s="30"/>
      <c r="G1583" s="31"/>
      <c r="H1583" s="13">
        <v>0</v>
      </c>
      <c r="I1583" s="13">
        <v>0</v>
      </c>
      <c r="J1583" s="30"/>
      <c r="K1583" s="37"/>
    </row>
    <row r="1584" spans="3:11" ht="15.5" thickTop="1" thickBot="1" x14ac:dyDescent="0.4">
      <c r="C1584" s="29"/>
      <c r="D1584" s="30"/>
      <c r="E1584" s="106" t="str">
        <f>IFERROR(VLOOKUP($D1584,NUMDIST[],2,FALSE),"DA Non trouvéé")</f>
        <v>DA Non trouvéé</v>
      </c>
      <c r="F1584" s="30"/>
      <c r="G1584" s="31"/>
      <c r="H1584" s="13">
        <v>0</v>
      </c>
      <c r="I1584" s="13">
        <v>0</v>
      </c>
      <c r="J1584" s="30"/>
      <c r="K1584" s="37"/>
    </row>
    <row r="1585" spans="3:11" ht="15.5" thickTop="1" thickBot="1" x14ac:dyDescent="0.4">
      <c r="C1585" s="29"/>
      <c r="D1585" s="30"/>
      <c r="E1585" s="106" t="str">
        <f>IFERROR(VLOOKUP($D1585,NUMDIST[],2,FALSE),"DA Non trouvéé")</f>
        <v>DA Non trouvéé</v>
      </c>
      <c r="F1585" s="30"/>
      <c r="G1585" s="31"/>
      <c r="H1585" s="13">
        <v>0</v>
      </c>
      <c r="I1585" s="13">
        <v>0</v>
      </c>
      <c r="J1585" s="30"/>
      <c r="K1585" s="37"/>
    </row>
    <row r="1586" spans="3:11" ht="15.5" thickTop="1" thickBot="1" x14ac:dyDescent="0.4">
      <c r="C1586" s="29"/>
      <c r="D1586" s="30"/>
      <c r="E1586" s="106" t="str">
        <f>IFERROR(VLOOKUP($D1586,NUMDIST[],2,FALSE),"DA Non trouvéé")</f>
        <v>DA Non trouvéé</v>
      </c>
      <c r="F1586" s="30"/>
      <c r="G1586" s="31"/>
      <c r="H1586" s="13">
        <v>0</v>
      </c>
      <c r="I1586" s="13">
        <v>0</v>
      </c>
      <c r="J1586" s="30"/>
      <c r="K1586" s="37"/>
    </row>
    <row r="1587" spans="3:11" ht="15.5" thickTop="1" thickBot="1" x14ac:dyDescent="0.4">
      <c r="C1587" s="29"/>
      <c r="D1587" s="30"/>
      <c r="E1587" s="106" t="str">
        <f>IFERROR(VLOOKUP($D1587,NUMDIST[],2,FALSE),"DA Non trouvéé")</f>
        <v>DA Non trouvéé</v>
      </c>
      <c r="F1587" s="30"/>
      <c r="G1587" s="31"/>
      <c r="H1587" s="13">
        <v>0</v>
      </c>
      <c r="I1587" s="13">
        <v>0</v>
      </c>
      <c r="J1587" s="30"/>
      <c r="K1587" s="37"/>
    </row>
    <row r="1588" spans="3:11" ht="15.5" thickTop="1" thickBot="1" x14ac:dyDescent="0.4">
      <c r="C1588" s="29"/>
      <c r="D1588" s="30"/>
      <c r="E1588" s="106" t="str">
        <f>IFERROR(VLOOKUP($D1588,NUMDIST[],2,FALSE),"DA Non trouvéé")</f>
        <v>DA Non trouvéé</v>
      </c>
      <c r="F1588" s="30"/>
      <c r="G1588" s="31"/>
      <c r="H1588" s="13">
        <v>0</v>
      </c>
      <c r="I1588" s="13">
        <v>0</v>
      </c>
      <c r="J1588" s="30"/>
      <c r="K1588" s="37"/>
    </row>
    <row r="1589" spans="3:11" ht="15.5" thickTop="1" thickBot="1" x14ac:dyDescent="0.4">
      <c r="C1589" s="29"/>
      <c r="D1589" s="30"/>
      <c r="E1589" s="106" t="str">
        <f>IFERROR(VLOOKUP($D1589,NUMDIST[],2,FALSE),"DA Non trouvéé")</f>
        <v>DA Non trouvéé</v>
      </c>
      <c r="F1589" s="30"/>
      <c r="G1589" s="31"/>
      <c r="H1589" s="13">
        <v>0</v>
      </c>
      <c r="I1589" s="13">
        <v>0</v>
      </c>
      <c r="J1589" s="30"/>
      <c r="K1589" s="37"/>
    </row>
    <row r="1590" spans="3:11" ht="15.5" thickTop="1" thickBot="1" x14ac:dyDescent="0.4">
      <c r="C1590" s="29"/>
      <c r="D1590" s="30"/>
      <c r="E1590" s="106" t="str">
        <f>IFERROR(VLOOKUP($D1590,NUMDIST[],2,FALSE),"DA Non trouvéé")</f>
        <v>DA Non trouvéé</v>
      </c>
      <c r="F1590" s="30"/>
      <c r="G1590" s="31"/>
      <c r="H1590" s="13">
        <v>0</v>
      </c>
      <c r="I1590" s="13">
        <v>0</v>
      </c>
      <c r="J1590" s="30"/>
      <c r="K1590" s="37"/>
    </row>
    <row r="1591" spans="3:11" ht="15.5" thickTop="1" thickBot="1" x14ac:dyDescent="0.4">
      <c r="C1591" s="29"/>
      <c r="D1591" s="30"/>
      <c r="E1591" s="106" t="str">
        <f>IFERROR(VLOOKUP($D1591,NUMDIST[],2,FALSE),"DA Non trouvéé")</f>
        <v>DA Non trouvéé</v>
      </c>
      <c r="F1591" s="30"/>
      <c r="G1591" s="31"/>
      <c r="H1591" s="13">
        <v>0</v>
      </c>
      <c r="I1591" s="13">
        <v>0</v>
      </c>
      <c r="J1591" s="30"/>
      <c r="K1591" s="37"/>
    </row>
    <row r="1592" spans="3:11" ht="15.5" thickTop="1" thickBot="1" x14ac:dyDescent="0.4">
      <c r="C1592" s="52"/>
      <c r="D1592" s="53"/>
      <c r="E1592" s="105" t="str">
        <f>IFERROR(VLOOKUP($D1592,NUMDIST[],2,FALSE),"DA Non trouvéé")</f>
        <v>DA Non trouvéé</v>
      </c>
      <c r="F1592" s="53"/>
      <c r="G1592" s="54"/>
      <c r="H1592" s="13">
        <v>0</v>
      </c>
      <c r="I1592" s="13">
        <v>0</v>
      </c>
      <c r="J1592" s="53"/>
      <c r="K1592" s="28"/>
    </row>
    <row r="1593" spans="3:11" ht="15.5" thickTop="1" thickBot="1" x14ac:dyDescent="0.4">
      <c r="C1593" s="29"/>
      <c r="D1593" s="30"/>
      <c r="E1593" s="106" t="str">
        <f>IFERROR(VLOOKUP($D1593,NUMDIST[],2,FALSE),"DA Non trouvéé")</f>
        <v>DA Non trouvéé</v>
      </c>
      <c r="F1593" s="30"/>
      <c r="G1593" s="31"/>
      <c r="H1593" s="13">
        <v>0</v>
      </c>
      <c r="I1593" s="13">
        <v>0</v>
      </c>
      <c r="J1593" s="30"/>
      <c r="K1593" s="37"/>
    </row>
    <row r="1594" spans="3:11" ht="15.5" thickTop="1" thickBot="1" x14ac:dyDescent="0.4">
      <c r="C1594" s="29"/>
      <c r="D1594" s="30"/>
      <c r="E1594" s="106" t="str">
        <f>IFERROR(VLOOKUP($D1594,NUMDIST[],2,FALSE),"DA Non trouvéé")</f>
        <v>DA Non trouvéé</v>
      </c>
      <c r="F1594" s="30"/>
      <c r="G1594" s="31"/>
      <c r="H1594" s="13">
        <v>0</v>
      </c>
      <c r="I1594" s="13">
        <v>0</v>
      </c>
      <c r="J1594" s="30"/>
      <c r="K1594" s="37"/>
    </row>
    <row r="1595" spans="3:11" ht="15.5" thickTop="1" thickBot="1" x14ac:dyDescent="0.4">
      <c r="C1595" s="29"/>
      <c r="D1595" s="30"/>
      <c r="E1595" s="106" t="str">
        <f>IFERROR(VLOOKUP($D1595,NUMDIST[],2,FALSE),"DA Non trouvéé")</f>
        <v>DA Non trouvéé</v>
      </c>
      <c r="F1595" s="30"/>
      <c r="G1595" s="31"/>
      <c r="H1595" s="32">
        <v>0</v>
      </c>
      <c r="I1595" s="32">
        <v>0</v>
      </c>
      <c r="J1595" s="30"/>
      <c r="K1595" s="37"/>
    </row>
    <row r="1596" spans="3:11" ht="15" thickTop="1" x14ac:dyDescent="0.35">
      <c r="C1596" s="29"/>
      <c r="D1596" s="30"/>
      <c r="E1596" s="31"/>
      <c r="F1596" s="30"/>
      <c r="G1596" s="31"/>
      <c r="H1596" s="107">
        <f>SUBTOTAL(109,Tableau8[CREDITATION])</f>
        <v>708890273</v>
      </c>
      <c r="I1596" s="107">
        <f>SUBTOTAL(109,Tableau8[APPROVISIONNMENT])</f>
        <v>678863954</v>
      </c>
    </row>
  </sheetData>
  <sheetProtection sheet="1" formatCells="0" autoFilter="0"/>
  <mergeCells count="7">
    <mergeCell ref="F3:F8"/>
    <mergeCell ref="C2:E2"/>
    <mergeCell ref="J3:J5"/>
    <mergeCell ref="I3:I5"/>
    <mergeCell ref="H3:H4"/>
    <mergeCell ref="G3:G4"/>
    <mergeCell ref="G2:J2"/>
  </mergeCells>
  <conditionalFormatting sqref="I12:I1595">
    <cfRule type="cellIs" dxfId="124" priority="1" operator="notEqual">
      <formula>0</formula>
    </cfRule>
  </conditionalFormatting>
  <conditionalFormatting sqref="J3:J5">
    <cfRule type="cellIs" dxfId="123" priority="7" operator="greaterThan">
      <formula>24500000</formula>
    </cfRule>
    <cfRule type="cellIs" dxfId="122" priority="8" operator="between">
      <formula>14700000</formula>
      <formula>24500000</formula>
    </cfRule>
    <cfRule type="cellIs" dxfId="121" priority="10" operator="lessThanOrEqual">
      <formula>14700000</formula>
    </cfRule>
  </conditionalFormatting>
  <conditionalFormatting sqref="J12:J1595">
    <cfRule type="containsText" dxfId="120" priority="2" operator="containsText" text="COMPTANT">
      <formula>NOT(ISERROR(SEARCH("COMPTANT",J12)))</formula>
    </cfRule>
    <cfRule type="containsText" dxfId="119" priority="3" operator="containsText" text="CREDIT">
      <formula>NOT(ISERROR(SEARCH("CREDIT",J12)))</formula>
    </cfRule>
  </conditionalFormatting>
  <pageMargins left="0.25" right="0.25" top="0.75" bottom="0.75" header="0.3" footer="0.3"/>
  <pageSetup paperSize="9" orientation="landscape" r:id="rId1"/>
  <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Feuil2!$C$3:$C$10</xm:f>
          </x14:formula1>
          <xm:sqref>M5:M12 G12:G1595</xm:sqref>
        </x14:dataValidation>
        <x14:dataValidation type="list" allowBlank="1" showInputMessage="1" showErrorMessage="1" xr:uid="{00000000-0002-0000-0100-000001000000}">
          <x14:formula1>
            <xm:f>Feuil2!$E$3:$E$4</xm:f>
          </x14:formula1>
          <xm:sqref>J12:J1595</xm:sqref>
        </x14:dataValidation>
        <x14:dataValidation type="list" allowBlank="1" showInputMessage="1" showErrorMessage="1" xr:uid="{00000000-0002-0000-0100-000002000000}">
          <x14:formula1>
            <xm:f>Feuil2!$G$3:$G$2767</xm:f>
          </x14:formula1>
          <xm:sqref>C12:C1595</xm:sqref>
        </x14:dataValidation>
        <x14:dataValidation type="list" allowBlank="1" showInputMessage="1" showErrorMessage="1" xr:uid="{1F1F8648-798C-4A5A-90C3-4C31EAC0310E}">
          <x14:formula1>
            <xm:f>Feuil2!$A$3:$A$236</xm:f>
          </x14:formula1>
          <xm:sqref>D12:D1595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2C48-D1CD-4628-812A-FF8947C2B915}">
  <dimension ref="A2:J30"/>
  <sheetViews>
    <sheetView workbookViewId="0">
      <selection activeCell="I28" activeCellId="2" sqref="I15 I20 I28"/>
    </sheetView>
  </sheetViews>
  <sheetFormatPr baseColWidth="10" defaultRowHeight="14.5" x14ac:dyDescent="0.35"/>
  <sheetData>
    <row r="2" spans="1:10" x14ac:dyDescent="0.35">
      <c r="H2" t="s">
        <v>390</v>
      </c>
      <c r="J2">
        <v>8283900</v>
      </c>
    </row>
    <row r="3" spans="1:10" x14ac:dyDescent="0.35">
      <c r="H3" t="s">
        <v>390</v>
      </c>
      <c r="J3">
        <v>17226175</v>
      </c>
    </row>
    <row r="4" spans="1:10" x14ac:dyDescent="0.35">
      <c r="B4" t="s">
        <v>305</v>
      </c>
      <c r="C4" t="s">
        <v>400</v>
      </c>
      <c r="D4" t="s">
        <v>303</v>
      </c>
      <c r="E4" t="s">
        <v>401</v>
      </c>
      <c r="F4" t="s">
        <v>304</v>
      </c>
      <c r="H4" t="s">
        <v>393</v>
      </c>
      <c r="J4">
        <v>13995800</v>
      </c>
    </row>
    <row r="5" spans="1:10" x14ac:dyDescent="0.35">
      <c r="A5" t="s">
        <v>306</v>
      </c>
      <c r="B5" t="s">
        <v>394</v>
      </c>
      <c r="C5">
        <v>787</v>
      </c>
      <c r="D5" t="s">
        <v>303</v>
      </c>
      <c r="E5">
        <v>0</v>
      </c>
    </row>
    <row r="6" spans="1:10" x14ac:dyDescent="0.35">
      <c r="B6" t="s">
        <v>10</v>
      </c>
      <c r="C6">
        <v>100</v>
      </c>
      <c r="D6" t="s">
        <v>303</v>
      </c>
      <c r="E6" s="55">
        <v>650000</v>
      </c>
      <c r="F6" t="s">
        <v>304</v>
      </c>
    </row>
    <row r="7" spans="1:10" x14ac:dyDescent="0.35">
      <c r="B7" t="s">
        <v>19</v>
      </c>
      <c r="C7">
        <v>0</v>
      </c>
      <c r="E7" s="55">
        <v>2566000</v>
      </c>
      <c r="F7" t="s">
        <v>304</v>
      </c>
    </row>
    <row r="8" spans="1:10" x14ac:dyDescent="0.35">
      <c r="B8" t="s">
        <v>7</v>
      </c>
      <c r="C8">
        <v>800</v>
      </c>
      <c r="D8" t="s">
        <v>303</v>
      </c>
      <c r="E8" s="55">
        <v>88000</v>
      </c>
      <c r="F8" t="s">
        <v>304</v>
      </c>
      <c r="H8" t="s">
        <v>391</v>
      </c>
    </row>
    <row r="9" spans="1:10" x14ac:dyDescent="0.35">
      <c r="B9" t="s">
        <v>4</v>
      </c>
      <c r="C9">
        <v>0</v>
      </c>
      <c r="E9" s="55">
        <v>200000</v>
      </c>
      <c r="F9" t="s">
        <v>304</v>
      </c>
      <c r="H9" t="s">
        <v>392</v>
      </c>
    </row>
    <row r="10" spans="1:10" x14ac:dyDescent="0.35">
      <c r="B10" t="s">
        <v>15</v>
      </c>
      <c r="C10">
        <v>0</v>
      </c>
      <c r="E10" s="55">
        <v>0</v>
      </c>
    </row>
    <row r="11" spans="1:10" x14ac:dyDescent="0.35">
      <c r="B11" t="s">
        <v>8</v>
      </c>
      <c r="C11">
        <v>347</v>
      </c>
      <c r="D11" t="s">
        <v>303</v>
      </c>
      <c r="E11">
        <v>0</v>
      </c>
    </row>
    <row r="13" spans="1:10" x14ac:dyDescent="0.35">
      <c r="A13" t="s">
        <v>307</v>
      </c>
      <c r="B13" t="s">
        <v>305</v>
      </c>
      <c r="C13" t="s">
        <v>400</v>
      </c>
      <c r="D13" t="s">
        <v>303</v>
      </c>
      <c r="E13" t="s">
        <v>401</v>
      </c>
      <c r="F13" t="s">
        <v>304</v>
      </c>
      <c r="H13" t="s">
        <v>395</v>
      </c>
    </row>
    <row r="14" spans="1:10" x14ac:dyDescent="0.35">
      <c r="B14" t="s">
        <v>394</v>
      </c>
      <c r="C14">
        <v>832</v>
      </c>
      <c r="D14" t="s">
        <v>303</v>
      </c>
      <c r="E14" s="55">
        <v>200000</v>
      </c>
      <c r="F14" t="s">
        <v>304</v>
      </c>
    </row>
    <row r="15" spans="1:10" x14ac:dyDescent="0.35">
      <c r="B15" t="s">
        <v>19</v>
      </c>
      <c r="C15">
        <v>300</v>
      </c>
      <c r="D15" t="s">
        <v>303</v>
      </c>
      <c r="E15" s="55">
        <v>2017600</v>
      </c>
      <c r="F15" t="s">
        <v>304</v>
      </c>
      <c r="I15" cm="1">
        <f t="array" ref="I15">SUM(Tableau9[Colonne3],Tableau9[Colonne2]*2350)</f>
        <v>8283900</v>
      </c>
    </row>
    <row r="16" spans="1:10" x14ac:dyDescent="0.35">
      <c r="B16" t="s">
        <v>15</v>
      </c>
      <c r="C16">
        <v>2300</v>
      </c>
      <c r="D16" t="s">
        <v>303</v>
      </c>
      <c r="E16">
        <v>0</v>
      </c>
    </row>
    <row r="17" spans="1:9" x14ac:dyDescent="0.35">
      <c r="B17" t="s">
        <v>10</v>
      </c>
      <c r="C17">
        <v>0</v>
      </c>
      <c r="E17">
        <v>0</v>
      </c>
    </row>
    <row r="18" spans="1:9" x14ac:dyDescent="0.35">
      <c r="B18" t="s">
        <v>7</v>
      </c>
      <c r="C18">
        <v>1480</v>
      </c>
      <c r="D18" t="s">
        <v>303</v>
      </c>
      <c r="E18">
        <v>0</v>
      </c>
    </row>
    <row r="19" spans="1:9" x14ac:dyDescent="0.35">
      <c r="B19" t="s">
        <v>4</v>
      </c>
      <c r="C19">
        <v>0</v>
      </c>
      <c r="E19">
        <v>0</v>
      </c>
    </row>
    <row r="20" spans="1:9" x14ac:dyDescent="0.35">
      <c r="B20" t="s">
        <v>4</v>
      </c>
      <c r="C20">
        <v>100</v>
      </c>
      <c r="D20" t="s">
        <v>303</v>
      </c>
      <c r="E20">
        <v>0</v>
      </c>
      <c r="I20" cm="1">
        <f t="array" ref="I20">SUM(Tableau11[Colonne3]+Tableau11[Colonne2]*2350)</f>
        <v>13995800</v>
      </c>
    </row>
    <row r="21" spans="1:9" x14ac:dyDescent="0.35">
      <c r="A21" t="s">
        <v>399</v>
      </c>
    </row>
    <row r="22" spans="1:9" x14ac:dyDescent="0.35">
      <c r="B22" t="s">
        <v>305</v>
      </c>
      <c r="C22" t="s">
        <v>400</v>
      </c>
      <c r="D22" t="s">
        <v>303</v>
      </c>
      <c r="E22" t="s">
        <v>401</v>
      </c>
      <c r="F22" t="s">
        <v>304</v>
      </c>
    </row>
    <row r="23" spans="1:9" x14ac:dyDescent="0.35">
      <c r="B23" t="s">
        <v>394</v>
      </c>
      <c r="C23">
        <v>634</v>
      </c>
      <c r="D23" t="s">
        <v>303</v>
      </c>
      <c r="E23">
        <v>0</v>
      </c>
    </row>
    <row r="24" spans="1:9" x14ac:dyDescent="0.35">
      <c r="B24" t="s">
        <v>19</v>
      </c>
      <c r="C24">
        <v>500</v>
      </c>
      <c r="D24" t="s">
        <v>303</v>
      </c>
      <c r="E24">
        <v>2601700</v>
      </c>
      <c r="F24" t="s">
        <v>304</v>
      </c>
    </row>
    <row r="25" spans="1:9" x14ac:dyDescent="0.35">
      <c r="B25" t="s">
        <v>15</v>
      </c>
      <c r="C25">
        <v>1100</v>
      </c>
      <c r="D25" t="s">
        <v>303</v>
      </c>
      <c r="E25">
        <v>5000000</v>
      </c>
      <c r="F25" t="s">
        <v>304</v>
      </c>
    </row>
    <row r="26" spans="1:9" x14ac:dyDescent="0.35">
      <c r="B26" t="s">
        <v>7</v>
      </c>
      <c r="C26">
        <v>1091.5</v>
      </c>
      <c r="D26" t="s">
        <v>303</v>
      </c>
      <c r="E26">
        <v>0</v>
      </c>
    </row>
    <row r="27" spans="1:9" x14ac:dyDescent="0.35">
      <c r="B27" t="s">
        <v>396</v>
      </c>
      <c r="C27">
        <v>403</v>
      </c>
      <c r="D27" t="s">
        <v>303</v>
      </c>
      <c r="E27">
        <v>0</v>
      </c>
    </row>
    <row r="28" spans="1:9" x14ac:dyDescent="0.35">
      <c r="B28" t="s">
        <v>10</v>
      </c>
      <c r="C28">
        <v>0</v>
      </c>
      <c r="E28">
        <v>0</v>
      </c>
      <c r="I28" cm="1">
        <f t="array" ref="I28">SUM(Tableau12[Colonne3]+(Tableau12[Colonne2]*2350))</f>
        <v>17226175</v>
      </c>
    </row>
    <row r="29" spans="1:9" x14ac:dyDescent="0.35">
      <c r="B29" t="s">
        <v>8</v>
      </c>
      <c r="C29">
        <v>220</v>
      </c>
      <c r="D29" t="s">
        <v>303</v>
      </c>
      <c r="E29">
        <v>345500</v>
      </c>
      <c r="F29" t="s">
        <v>304</v>
      </c>
    </row>
    <row r="30" spans="1:9" x14ac:dyDescent="0.35">
      <c r="B30" t="s">
        <v>397</v>
      </c>
      <c r="D30" t="s">
        <v>398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CA8F-8B5E-40EE-BDC2-E9CA6FA4DE2B}">
  <dimension ref="A1:CG23"/>
  <sheetViews>
    <sheetView showGridLines="0" topLeftCell="A7" workbookViewId="0">
      <pane xSplit="1" topLeftCell="D1" activePane="topRight" state="frozen"/>
      <selection pane="topRight" activeCell="K6" sqref="K6"/>
    </sheetView>
  </sheetViews>
  <sheetFormatPr baseColWidth="10" defaultRowHeight="14.5" x14ac:dyDescent="0.35"/>
  <cols>
    <col min="1" max="1" width="18.36328125" style="15" customWidth="1"/>
    <col min="2" max="2" width="14.6328125" style="58" bestFit="1" customWidth="1"/>
    <col min="3" max="3" width="14.6328125" style="59" bestFit="1" customWidth="1"/>
    <col min="4" max="4" width="13.6328125" style="58" bestFit="1" customWidth="1"/>
    <col min="5" max="5" width="14.7265625" style="59" bestFit="1" customWidth="1"/>
    <col min="6" max="6" width="13.6328125" style="58" bestFit="1" customWidth="1"/>
    <col min="7" max="7" width="14.6328125" style="59" bestFit="1" customWidth="1"/>
    <col min="8" max="8" width="14.6328125" style="58" bestFit="1" customWidth="1"/>
    <col min="9" max="9" width="13.90625" style="59" bestFit="1" customWidth="1"/>
    <col min="10" max="12" width="13.6328125" style="15" bestFit="1" customWidth="1"/>
    <col min="13" max="13" width="14.6328125" style="15" bestFit="1" customWidth="1"/>
    <col min="14" max="14" width="13.6328125" style="15" bestFit="1" customWidth="1"/>
    <col min="15" max="15" width="14.7265625" style="15" bestFit="1" customWidth="1"/>
    <col min="16" max="16" width="13.6328125" style="15" bestFit="1" customWidth="1"/>
    <col min="17" max="17" width="13.7265625" style="15" bestFit="1" customWidth="1"/>
    <col min="18" max="85" width="12.453125" style="15" customWidth="1"/>
    <col min="86" max="16384" width="10.90625" style="15"/>
  </cols>
  <sheetData>
    <row r="1" spans="1:85" x14ac:dyDescent="0.35">
      <c r="A1" s="56"/>
      <c r="B1" s="65" t="s">
        <v>402</v>
      </c>
      <c r="C1" s="65"/>
      <c r="D1" s="66" t="s">
        <v>409</v>
      </c>
      <c r="E1" s="66"/>
      <c r="F1" s="108" t="s">
        <v>410</v>
      </c>
      <c r="G1" s="109"/>
      <c r="H1" s="108" t="s">
        <v>412</v>
      </c>
      <c r="I1" s="110"/>
      <c r="J1" s="111" t="s">
        <v>411</v>
      </c>
      <c r="K1" s="111"/>
      <c r="L1" s="111" t="s">
        <v>413</v>
      </c>
      <c r="M1" s="111"/>
      <c r="N1" s="64">
        <v>46237</v>
      </c>
      <c r="O1" s="64"/>
      <c r="P1" s="64">
        <v>46238</v>
      </c>
      <c r="Q1" s="64"/>
      <c r="R1" s="64">
        <v>46239</v>
      </c>
      <c r="S1" s="64"/>
      <c r="T1" s="64">
        <v>46240</v>
      </c>
      <c r="U1" s="64"/>
      <c r="V1" s="64">
        <v>46241</v>
      </c>
      <c r="W1" s="64"/>
      <c r="X1" s="64">
        <v>46242</v>
      </c>
      <c r="Y1" s="64"/>
      <c r="Z1" s="64">
        <v>46243</v>
      </c>
      <c r="AA1" s="64"/>
      <c r="AB1" s="64">
        <v>46244</v>
      </c>
      <c r="AC1" s="64"/>
      <c r="AD1" s="64">
        <v>46245</v>
      </c>
      <c r="AE1" s="64"/>
      <c r="AF1" s="64">
        <v>46246</v>
      </c>
      <c r="AG1" s="64"/>
      <c r="AH1" s="64">
        <v>46247</v>
      </c>
      <c r="AI1" s="64"/>
      <c r="AJ1" s="64">
        <v>46248</v>
      </c>
      <c r="AK1" s="64"/>
      <c r="AL1" s="64">
        <v>46249</v>
      </c>
      <c r="AM1" s="64"/>
      <c r="AN1" s="64">
        <v>46250</v>
      </c>
      <c r="AO1" s="64"/>
      <c r="AP1" s="64">
        <v>46251</v>
      </c>
      <c r="AQ1" s="64"/>
      <c r="AR1" s="64">
        <v>46252</v>
      </c>
      <c r="AS1" s="64"/>
      <c r="AT1" s="64">
        <v>46253</v>
      </c>
      <c r="AU1" s="64"/>
      <c r="AV1" s="64">
        <v>46254</v>
      </c>
      <c r="AW1" s="64"/>
      <c r="AX1" s="64">
        <v>46255</v>
      </c>
      <c r="AY1" s="64"/>
      <c r="AZ1" s="64">
        <v>46256</v>
      </c>
      <c r="BA1" s="64"/>
      <c r="BB1" s="64">
        <v>46257</v>
      </c>
      <c r="BC1" s="64"/>
      <c r="BD1" s="64">
        <v>46258</v>
      </c>
      <c r="BE1" s="64"/>
      <c r="BF1" s="64">
        <v>46259</v>
      </c>
      <c r="BG1" s="64"/>
      <c r="BH1" s="64">
        <v>46260</v>
      </c>
      <c r="BI1" s="64"/>
      <c r="BJ1" s="64">
        <v>46261</v>
      </c>
      <c r="BK1" s="64"/>
      <c r="BL1" s="64">
        <v>46262</v>
      </c>
      <c r="BM1" s="64"/>
      <c r="BN1" s="64">
        <v>46263</v>
      </c>
      <c r="BO1" s="64"/>
      <c r="BP1" s="64">
        <v>46264</v>
      </c>
      <c r="BQ1" s="64"/>
      <c r="BR1" s="64">
        <v>46265</v>
      </c>
      <c r="BS1" s="64"/>
      <c r="BT1" s="64">
        <v>46266</v>
      </c>
      <c r="BU1" s="64"/>
      <c r="BV1" s="64">
        <v>46267</v>
      </c>
      <c r="BW1" s="64"/>
      <c r="BX1" s="64">
        <v>46268</v>
      </c>
      <c r="BY1" s="64"/>
      <c r="BZ1" s="64">
        <v>46269</v>
      </c>
      <c r="CA1" s="64"/>
      <c r="CB1" s="64">
        <v>46270</v>
      </c>
      <c r="CC1" s="64"/>
      <c r="CD1" s="64">
        <v>46271</v>
      </c>
      <c r="CE1" s="64"/>
      <c r="CF1" s="64">
        <v>46272</v>
      </c>
      <c r="CG1" s="64"/>
    </row>
    <row r="2" spans="1:85" s="153" customFormat="1" ht="15" thickBot="1" x14ac:dyDescent="0.4">
      <c r="A2" s="149" t="s">
        <v>305</v>
      </c>
      <c r="B2" s="147" t="s">
        <v>304</v>
      </c>
      <c r="C2" s="148" t="s">
        <v>303</v>
      </c>
      <c r="D2" s="150" t="s">
        <v>302</v>
      </c>
      <c r="E2" s="151" t="s">
        <v>301</v>
      </c>
      <c r="F2" s="150" t="s">
        <v>300</v>
      </c>
      <c r="G2" s="151" t="s">
        <v>299</v>
      </c>
      <c r="H2" s="150" t="s">
        <v>298</v>
      </c>
      <c r="I2" s="152" t="s">
        <v>297</v>
      </c>
      <c r="J2" s="151" t="s">
        <v>308</v>
      </c>
      <c r="K2" s="151" t="s">
        <v>309</v>
      </c>
      <c r="L2" s="151" t="s">
        <v>310</v>
      </c>
      <c r="M2" s="151" t="s">
        <v>311</v>
      </c>
      <c r="N2" s="151" t="s">
        <v>312</v>
      </c>
      <c r="O2" s="151" t="s">
        <v>313</v>
      </c>
      <c r="P2" s="151" t="s">
        <v>314</v>
      </c>
      <c r="Q2" s="151" t="s">
        <v>315</v>
      </c>
      <c r="R2" s="151" t="s">
        <v>316</v>
      </c>
      <c r="S2" s="151" t="s">
        <v>317</v>
      </c>
      <c r="T2" s="151" t="s">
        <v>318</v>
      </c>
      <c r="U2" s="151" t="s">
        <v>319</v>
      </c>
      <c r="V2" s="151" t="s">
        <v>320</v>
      </c>
      <c r="W2" s="151" t="s">
        <v>321</v>
      </c>
      <c r="X2" s="151" t="s">
        <v>322</v>
      </c>
      <c r="Y2" s="151" t="s">
        <v>323</v>
      </c>
      <c r="Z2" s="151" t="s">
        <v>324</v>
      </c>
      <c r="AA2" s="151" t="s">
        <v>325</v>
      </c>
      <c r="AB2" s="151" t="s">
        <v>326</v>
      </c>
      <c r="AC2" s="151" t="s">
        <v>327</v>
      </c>
      <c r="AD2" s="151" t="s">
        <v>328</v>
      </c>
      <c r="AE2" s="151" t="s">
        <v>329</v>
      </c>
      <c r="AF2" s="151" t="s">
        <v>330</v>
      </c>
      <c r="AG2" s="151" t="s">
        <v>331</v>
      </c>
      <c r="AH2" s="151" t="s">
        <v>332</v>
      </c>
      <c r="AI2" s="151" t="s">
        <v>333</v>
      </c>
      <c r="AJ2" s="151" t="s">
        <v>334</v>
      </c>
      <c r="AK2" s="151" t="s">
        <v>335</v>
      </c>
      <c r="AL2" s="151" t="s">
        <v>336</v>
      </c>
      <c r="AM2" s="151" t="s">
        <v>337</v>
      </c>
      <c r="AN2" s="151" t="s">
        <v>338</v>
      </c>
      <c r="AO2" s="151" t="s">
        <v>339</v>
      </c>
      <c r="AP2" s="151" t="s">
        <v>340</v>
      </c>
      <c r="AQ2" s="151" t="s">
        <v>341</v>
      </c>
      <c r="AR2" s="151" t="s">
        <v>342</v>
      </c>
      <c r="AS2" s="151" t="s">
        <v>343</v>
      </c>
      <c r="AT2" s="151" t="s">
        <v>344</v>
      </c>
      <c r="AU2" s="151" t="s">
        <v>345</v>
      </c>
      <c r="AV2" s="151" t="s">
        <v>346</v>
      </c>
      <c r="AW2" s="151" t="s">
        <v>347</v>
      </c>
      <c r="AX2" s="151" t="s">
        <v>348</v>
      </c>
      <c r="AY2" s="151" t="s">
        <v>349</v>
      </c>
      <c r="AZ2" s="151" t="s">
        <v>350</v>
      </c>
      <c r="BA2" s="151" t="s">
        <v>351</v>
      </c>
      <c r="BB2" s="151" t="s">
        <v>352</v>
      </c>
      <c r="BC2" s="151" t="s">
        <v>353</v>
      </c>
      <c r="BD2" s="151" t="s">
        <v>354</v>
      </c>
      <c r="BE2" s="151" t="s">
        <v>355</v>
      </c>
      <c r="BF2" s="151" t="s">
        <v>356</v>
      </c>
      <c r="BG2" s="151" t="s">
        <v>357</v>
      </c>
      <c r="BH2" s="151" t="s">
        <v>358</v>
      </c>
      <c r="BI2" s="151" t="s">
        <v>359</v>
      </c>
      <c r="BJ2" s="151" t="s">
        <v>360</v>
      </c>
      <c r="BK2" s="151" t="s">
        <v>361</v>
      </c>
      <c r="BL2" s="151" t="s">
        <v>362</v>
      </c>
      <c r="BM2" s="151" t="s">
        <v>363</v>
      </c>
      <c r="BN2" s="151" t="s">
        <v>364</v>
      </c>
      <c r="BO2" s="151" t="s">
        <v>365</v>
      </c>
      <c r="BP2" s="151" t="s">
        <v>366</v>
      </c>
      <c r="BQ2" s="151" t="s">
        <v>367</v>
      </c>
      <c r="BR2" s="151" t="s">
        <v>368</v>
      </c>
      <c r="BS2" s="151" t="s">
        <v>369</v>
      </c>
      <c r="BT2" s="151" t="s">
        <v>370</v>
      </c>
      <c r="BU2" s="151" t="s">
        <v>371</v>
      </c>
      <c r="BV2" s="151" t="s">
        <v>372</v>
      </c>
      <c r="BW2" s="151" t="s">
        <v>373</v>
      </c>
      <c r="BX2" s="151" t="s">
        <v>374</v>
      </c>
      <c r="BY2" s="151" t="s">
        <v>375</v>
      </c>
      <c r="BZ2" s="151" t="s">
        <v>376</v>
      </c>
      <c r="CA2" s="151" t="s">
        <v>377</v>
      </c>
      <c r="CB2" s="151" t="s">
        <v>378</v>
      </c>
      <c r="CC2" s="151" t="s">
        <v>379</v>
      </c>
      <c r="CD2" s="151" t="s">
        <v>380</v>
      </c>
      <c r="CE2" s="151" t="s">
        <v>381</v>
      </c>
      <c r="CF2" s="151" t="s">
        <v>382</v>
      </c>
      <c r="CG2" s="151" t="s">
        <v>383</v>
      </c>
    </row>
    <row r="3" spans="1:85" ht="15" thickTop="1" x14ac:dyDescent="0.35">
      <c r="A3" s="15" t="s">
        <v>394</v>
      </c>
      <c r="B3" s="113">
        <f ca="1">SUMIF(Feuil1!$B$5:$F$29,Tableau1[[#This Row],[Colonne1]],Feuil1!$E$5:$E$29)</f>
        <v>200000</v>
      </c>
      <c r="C3" s="114">
        <f ca="1">SUMIF(Feuil1!$B$5:$F$29,Tableau1[[#This Row],[Colonne1]],Feuil1!$C$5:$C$29)</f>
        <v>2253</v>
      </c>
      <c r="D3" s="137">
        <v>0</v>
      </c>
      <c r="E3" s="135">
        <v>200</v>
      </c>
      <c r="F3" s="134">
        <v>200000</v>
      </c>
      <c r="G3" s="135">
        <v>1163.32</v>
      </c>
      <c r="H3" s="134">
        <v>0</v>
      </c>
      <c r="I3" s="136">
        <v>650</v>
      </c>
      <c r="J3" s="134">
        <v>300000</v>
      </c>
      <c r="K3" s="135">
        <v>1494.5</v>
      </c>
      <c r="L3" s="134"/>
      <c r="M3" s="135">
        <v>1951.5</v>
      </c>
      <c r="N3" s="134"/>
      <c r="O3" s="135"/>
      <c r="P3" s="134"/>
      <c r="Q3" s="135"/>
      <c r="R3" s="134"/>
      <c r="S3" s="135"/>
      <c r="T3" s="134"/>
      <c r="U3" s="138"/>
      <c r="V3" s="134"/>
      <c r="W3" s="138"/>
      <c r="X3" s="134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8"/>
    </row>
    <row r="4" spans="1:85" x14ac:dyDescent="0.35">
      <c r="A4" s="15" t="s">
        <v>10</v>
      </c>
      <c r="B4" s="115">
        <f ca="1">SUMIF(Feuil1!$B$5:$F$29,Tableau1[[#This Row],[Colonne1]],Feuil1!$E$5:$E$29)</f>
        <v>650000</v>
      </c>
      <c r="C4" s="78">
        <f ca="1">SUMIF(Feuil1!$B$5:$F$29,Tableau1[[#This Row],[Colonne1]],Feuil1!$C$5:$C$29)</f>
        <v>100</v>
      </c>
      <c r="D4" s="134">
        <v>600000</v>
      </c>
      <c r="E4" s="135">
        <v>150</v>
      </c>
      <c r="F4" s="134"/>
      <c r="G4" s="135"/>
      <c r="H4" s="134">
        <v>550000</v>
      </c>
      <c r="I4" s="136">
        <v>90</v>
      </c>
      <c r="J4" s="134"/>
      <c r="K4" s="135"/>
      <c r="L4" s="134"/>
      <c r="M4" s="135"/>
      <c r="N4" s="134"/>
      <c r="O4" s="135"/>
      <c r="P4" s="134"/>
      <c r="Q4" s="135"/>
      <c r="R4" s="134"/>
      <c r="S4" s="135"/>
      <c r="T4" s="134"/>
      <c r="U4" s="138"/>
      <c r="V4" s="134"/>
      <c r="W4" s="138"/>
      <c r="X4" s="134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</row>
    <row r="5" spans="1:85" x14ac:dyDescent="0.35">
      <c r="A5" s="15" t="s">
        <v>19</v>
      </c>
      <c r="B5" s="115">
        <f ca="1">SUMIF(Feuil1!$B$5:$F$29,Tableau1[[#This Row],[Colonne1]],Feuil1!$E$5:$E$29)</f>
        <v>7185300</v>
      </c>
      <c r="C5" s="116">
        <f ca="1">SUMIF(Feuil1!$B$5:$F$29,Tableau1[[#This Row],[Colonne1]],Feuil1!$C$5:$C$29)</f>
        <v>800</v>
      </c>
      <c r="D5" s="134">
        <v>2370400</v>
      </c>
      <c r="E5" s="135">
        <v>160</v>
      </c>
      <c r="F5" s="134">
        <v>2247550</v>
      </c>
      <c r="G5" s="135">
        <v>120</v>
      </c>
      <c r="H5" s="134">
        <v>2901400</v>
      </c>
      <c r="I5" s="136">
        <v>200</v>
      </c>
      <c r="J5" s="134">
        <v>3366800</v>
      </c>
      <c r="K5" s="135">
        <v>970</v>
      </c>
      <c r="L5" s="134">
        <v>3056600</v>
      </c>
      <c r="M5" s="135">
        <v>430</v>
      </c>
      <c r="N5" s="134"/>
      <c r="O5" s="135"/>
      <c r="P5" s="134"/>
      <c r="Q5" s="135"/>
      <c r="R5" s="134"/>
      <c r="S5" s="135"/>
      <c r="T5" s="134"/>
      <c r="U5" s="138"/>
      <c r="V5" s="134"/>
      <c r="W5" s="138"/>
      <c r="X5" s="134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</row>
    <row r="6" spans="1:85" s="57" customFormat="1" x14ac:dyDescent="0.35">
      <c r="A6" s="57" t="s">
        <v>15</v>
      </c>
      <c r="B6" s="77">
        <f ca="1">SUMIF(Feuil1!$B$5:$F$29,Tableau1[[#This Row],[Colonne1]],Feuil1!$E$5:$E$29)</f>
        <v>5000000</v>
      </c>
      <c r="C6" s="79">
        <f ca="1">SUMIF(Feuil1!$B$5:$F$29,Tableau1[[#This Row],[Colonne1]],Feuil1!$C$5:$C$29)</f>
        <v>3400</v>
      </c>
      <c r="D6" s="139">
        <v>0</v>
      </c>
      <c r="E6" s="140">
        <v>355</v>
      </c>
      <c r="F6" s="139">
        <v>0</v>
      </c>
      <c r="G6" s="140">
        <v>600</v>
      </c>
      <c r="H6" s="139">
        <v>0</v>
      </c>
      <c r="I6" s="141">
        <v>300</v>
      </c>
      <c r="J6" s="134"/>
      <c r="K6" s="140">
        <v>500</v>
      </c>
      <c r="L6" s="139">
        <v>0</v>
      </c>
      <c r="M6" s="140">
        <v>2100</v>
      </c>
      <c r="N6" s="139"/>
      <c r="O6" s="140"/>
      <c r="P6" s="139"/>
      <c r="Q6" s="140"/>
      <c r="R6" s="139"/>
      <c r="S6" s="140"/>
      <c r="T6" s="139"/>
      <c r="U6" s="142"/>
      <c r="V6" s="139"/>
      <c r="W6" s="142"/>
      <c r="X6" s="139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2"/>
      <c r="BO6" s="142"/>
      <c r="BP6" s="142"/>
      <c r="BQ6" s="142"/>
      <c r="BR6" s="142"/>
      <c r="BS6" s="142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2"/>
      <c r="CE6" s="142"/>
      <c r="CF6" s="142"/>
      <c r="CG6" s="142"/>
    </row>
    <row r="7" spans="1:85" x14ac:dyDescent="0.35">
      <c r="A7" s="15" t="s">
        <v>7</v>
      </c>
      <c r="B7" s="115">
        <f ca="1">SUMIF(Feuil1!$B$5:$F$29,Tableau1[[#This Row],[Colonne1]],Feuil1!$E$5:$E$29)</f>
        <v>88000</v>
      </c>
      <c r="C7" s="116">
        <f ca="1">SUMIF(Feuil1!$B$5:$F$29,Tableau1[[#This Row],[Colonne1]],Feuil1!$C$5:$C$29)</f>
        <v>3371.5</v>
      </c>
      <c r="D7" s="134">
        <v>0</v>
      </c>
      <c r="E7" s="135">
        <v>1130</v>
      </c>
      <c r="F7" s="134">
        <v>2585000</v>
      </c>
      <c r="G7" s="135">
        <v>3618.3</v>
      </c>
      <c r="H7" s="134">
        <v>0</v>
      </c>
      <c r="I7" s="136">
        <v>2473</v>
      </c>
      <c r="J7" s="134">
        <v>2083000</v>
      </c>
      <c r="K7" s="135">
        <v>1190</v>
      </c>
      <c r="L7" s="134">
        <v>619500</v>
      </c>
      <c r="M7" s="135">
        <v>5139</v>
      </c>
      <c r="N7" s="134"/>
      <c r="O7" s="135"/>
      <c r="P7" s="134"/>
      <c r="Q7" s="135"/>
      <c r="R7" s="134"/>
      <c r="S7" s="135"/>
      <c r="T7" s="134"/>
      <c r="U7" s="138"/>
      <c r="V7" s="134"/>
      <c r="W7" s="138"/>
      <c r="X7" s="134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</row>
    <row r="8" spans="1:85" x14ac:dyDescent="0.35">
      <c r="A8" s="15" t="s">
        <v>396</v>
      </c>
      <c r="B8" s="115">
        <f ca="1">SUMIF(Feuil1!$B$5:$F$29,Tableau1[[#This Row],[Colonne1]],Feuil1!$E$5:$E$29)</f>
        <v>0</v>
      </c>
      <c r="C8" s="117">
        <f ca="1">SUMIF(Feuil1!$B$5:$F$29,Tableau1[[#This Row],[Colonne1]],Feuil1!$C$5:$C$29)</f>
        <v>403</v>
      </c>
      <c r="D8" s="134">
        <v>0</v>
      </c>
      <c r="E8" s="135">
        <v>0</v>
      </c>
      <c r="F8" s="143">
        <v>472000</v>
      </c>
      <c r="G8" s="144">
        <v>200</v>
      </c>
      <c r="H8" s="143">
        <v>0</v>
      </c>
      <c r="I8" s="145">
        <v>0</v>
      </c>
      <c r="J8" s="134">
        <v>1145000</v>
      </c>
      <c r="K8" s="135">
        <v>200</v>
      </c>
      <c r="L8" s="134">
        <v>270000</v>
      </c>
      <c r="M8" s="135">
        <v>720</v>
      </c>
      <c r="N8" s="134"/>
      <c r="O8" s="135"/>
      <c r="P8" s="134"/>
      <c r="Q8" s="135"/>
      <c r="R8" s="134"/>
      <c r="S8" s="135"/>
      <c r="T8" s="134"/>
      <c r="U8" s="138"/>
      <c r="V8" s="134"/>
      <c r="W8" s="138"/>
      <c r="X8" s="134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38"/>
      <c r="BP8" s="138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</row>
    <row r="9" spans="1:85" x14ac:dyDescent="0.35">
      <c r="A9" s="60" t="s">
        <v>8</v>
      </c>
      <c r="B9" s="115">
        <f ca="1">SUMIF(Feuil1!$B$5:$F$29,Tableau1[[#This Row],[Colonne1]],Feuil1!$E$5:$E$29)</f>
        <v>345500</v>
      </c>
      <c r="C9" s="117">
        <f ca="1">SUMIF(Feuil1!$B$5:$F$29,Tableau1[[#This Row],[Colonne1]],Feuil1!$C$5:$C$29)</f>
        <v>567</v>
      </c>
      <c r="D9" s="146">
        <v>400000</v>
      </c>
      <c r="E9" s="144">
        <v>635</v>
      </c>
      <c r="F9" s="143">
        <v>0</v>
      </c>
      <c r="G9" s="144">
        <v>351</v>
      </c>
      <c r="H9" s="143"/>
      <c r="I9" s="145"/>
      <c r="J9" s="134">
        <v>727600</v>
      </c>
      <c r="K9" s="135">
        <v>913</v>
      </c>
      <c r="L9" s="134">
        <v>280000</v>
      </c>
      <c r="M9" s="135">
        <v>400</v>
      </c>
      <c r="N9" s="134"/>
      <c r="O9" s="135"/>
      <c r="P9" s="134"/>
      <c r="Q9" s="135"/>
      <c r="R9" s="134"/>
      <c r="S9" s="135"/>
      <c r="T9" s="134"/>
      <c r="U9" s="138"/>
      <c r="V9" s="134"/>
      <c r="W9" s="138"/>
      <c r="X9" s="134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  <c r="CB9" s="138"/>
      <c r="CC9" s="138"/>
      <c r="CD9" s="138"/>
      <c r="CE9" s="138"/>
      <c r="CF9" s="138"/>
      <c r="CG9" s="138"/>
    </row>
    <row r="10" spans="1:85" ht="15" thickBot="1" x14ac:dyDescent="0.4">
      <c r="A10" s="60" t="s">
        <v>9</v>
      </c>
      <c r="B10" s="118">
        <f ca="1">SUMIF(Feuil1!$B$5:$F$29,Tableau1[[#This Row],[Colonne1]],Feuil1!$E$5:$E$29)</f>
        <v>0</v>
      </c>
      <c r="C10" s="119">
        <f ca="1">SUMIF(Feuil1!$B$5:$F$29,Tableau1[[#This Row],[Colonne1]],Feuil1!$C$5:$C$29)</f>
        <v>0</v>
      </c>
      <c r="D10" s="146"/>
      <c r="E10" s="144">
        <v>0</v>
      </c>
      <c r="F10" s="143"/>
      <c r="G10" s="144"/>
      <c r="H10" s="143"/>
      <c r="I10" s="145"/>
      <c r="J10" s="134"/>
      <c r="K10" s="135"/>
      <c r="L10" s="134"/>
      <c r="M10" s="135"/>
      <c r="N10" s="134"/>
      <c r="O10" s="135"/>
      <c r="P10" s="134"/>
      <c r="Q10" s="135"/>
      <c r="R10" s="134"/>
      <c r="S10" s="135"/>
      <c r="T10" s="134"/>
      <c r="U10" s="138"/>
      <c r="V10" s="134"/>
      <c r="W10" s="138"/>
      <c r="X10" s="134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  <c r="CB10" s="138"/>
      <c r="CC10" s="138"/>
      <c r="CD10" s="138"/>
      <c r="CE10" s="138"/>
      <c r="CF10" s="138"/>
      <c r="CG10" s="138"/>
    </row>
    <row r="11" spans="1:85" s="57" customFormat="1" ht="15" thickTop="1" x14ac:dyDescent="0.35">
      <c r="A11" s="61"/>
      <c r="B11" s="113">
        <f t="shared" ref="B11:O11" ca="1" si="0">SUBTOTAL(109,B3:B10)</f>
        <v>13468800</v>
      </c>
      <c r="C11" s="120">
        <f t="shared" ca="1" si="0"/>
        <v>10894.5</v>
      </c>
      <c r="D11" s="121">
        <f t="shared" si="0"/>
        <v>3370400</v>
      </c>
      <c r="E11" s="122">
        <f t="shared" si="0"/>
        <v>2630</v>
      </c>
      <c r="F11" s="121">
        <f>SUBTOTAL(109,F3:F10)</f>
        <v>5504550</v>
      </c>
      <c r="G11" s="122">
        <f>SUBTOTAL(109,G3:G10)</f>
        <v>6052.62</v>
      </c>
      <c r="H11" s="121">
        <f t="shared" si="0"/>
        <v>3451400</v>
      </c>
      <c r="I11" s="123">
        <f t="shared" si="0"/>
        <v>3713</v>
      </c>
      <c r="J11" s="124">
        <f t="shared" si="0"/>
        <v>7622400</v>
      </c>
      <c r="K11" s="125">
        <f t="shared" si="0"/>
        <v>5267.5</v>
      </c>
      <c r="L11" s="124">
        <f t="shared" si="0"/>
        <v>4226100</v>
      </c>
      <c r="M11" s="125">
        <f t="shared" si="0"/>
        <v>10740.5</v>
      </c>
      <c r="N11" s="124">
        <f t="shared" si="0"/>
        <v>0</v>
      </c>
      <c r="O11" s="125">
        <f t="shared" si="0"/>
        <v>0</v>
      </c>
      <c r="P11" s="124">
        <f t="shared" ref="P11:CA11" si="1">SUBTOTAL(109,P3:P10)</f>
        <v>0</v>
      </c>
      <c r="Q11" s="125">
        <f t="shared" si="1"/>
        <v>0</v>
      </c>
      <c r="R11" s="124">
        <f t="shared" si="1"/>
        <v>0</v>
      </c>
      <c r="S11" s="125">
        <f t="shared" si="1"/>
        <v>0</v>
      </c>
      <c r="T11" s="124">
        <f t="shared" si="1"/>
        <v>0</v>
      </c>
      <c r="U11" s="125">
        <f t="shared" si="1"/>
        <v>0</v>
      </c>
      <c r="V11" s="124">
        <f t="shared" si="1"/>
        <v>0</v>
      </c>
      <c r="W11" s="125">
        <f t="shared" si="1"/>
        <v>0</v>
      </c>
      <c r="X11" s="124">
        <f t="shared" si="1"/>
        <v>0</v>
      </c>
      <c r="Y11" s="125">
        <f t="shared" si="1"/>
        <v>0</v>
      </c>
      <c r="Z11" s="124">
        <f t="shared" si="1"/>
        <v>0</v>
      </c>
      <c r="AA11" s="125">
        <f t="shared" si="1"/>
        <v>0</v>
      </c>
      <c r="AB11" s="124">
        <f t="shared" si="1"/>
        <v>0</v>
      </c>
      <c r="AC11" s="125">
        <f t="shared" si="1"/>
        <v>0</v>
      </c>
      <c r="AD11" s="124">
        <f t="shared" si="1"/>
        <v>0</v>
      </c>
      <c r="AE11" s="125">
        <f t="shared" si="1"/>
        <v>0</v>
      </c>
      <c r="AF11" s="124">
        <f t="shared" si="1"/>
        <v>0</v>
      </c>
      <c r="AG11" s="125">
        <f t="shared" si="1"/>
        <v>0</v>
      </c>
      <c r="AH11" s="124">
        <f t="shared" si="1"/>
        <v>0</v>
      </c>
      <c r="AI11" s="125">
        <f t="shared" si="1"/>
        <v>0</v>
      </c>
      <c r="AJ11" s="124">
        <f t="shared" si="1"/>
        <v>0</v>
      </c>
      <c r="AK11" s="125">
        <f t="shared" si="1"/>
        <v>0</v>
      </c>
      <c r="AL11" s="124">
        <f t="shared" si="1"/>
        <v>0</v>
      </c>
      <c r="AM11" s="125">
        <f t="shared" si="1"/>
        <v>0</v>
      </c>
      <c r="AN11" s="124">
        <f t="shared" si="1"/>
        <v>0</v>
      </c>
      <c r="AO11" s="125">
        <f t="shared" si="1"/>
        <v>0</v>
      </c>
      <c r="AP11" s="124">
        <f t="shared" si="1"/>
        <v>0</v>
      </c>
      <c r="AQ11" s="125">
        <f t="shared" si="1"/>
        <v>0</v>
      </c>
      <c r="AR11" s="124">
        <f t="shared" si="1"/>
        <v>0</v>
      </c>
      <c r="AS11" s="125">
        <f t="shared" si="1"/>
        <v>0</v>
      </c>
      <c r="AT11" s="124">
        <f t="shared" si="1"/>
        <v>0</v>
      </c>
      <c r="AU11" s="125">
        <f t="shared" si="1"/>
        <v>0</v>
      </c>
      <c r="AV11" s="124">
        <f t="shared" si="1"/>
        <v>0</v>
      </c>
      <c r="AW11" s="125">
        <f t="shared" si="1"/>
        <v>0</v>
      </c>
      <c r="AX11" s="124">
        <f t="shared" si="1"/>
        <v>0</v>
      </c>
      <c r="AY11" s="125">
        <f t="shared" si="1"/>
        <v>0</v>
      </c>
      <c r="AZ11" s="124">
        <f t="shared" si="1"/>
        <v>0</v>
      </c>
      <c r="BA11" s="125">
        <f t="shared" si="1"/>
        <v>0</v>
      </c>
      <c r="BB11" s="124">
        <f t="shared" si="1"/>
        <v>0</v>
      </c>
      <c r="BC11" s="125">
        <f t="shared" si="1"/>
        <v>0</v>
      </c>
      <c r="BD11" s="124">
        <f t="shared" si="1"/>
        <v>0</v>
      </c>
      <c r="BE11" s="125">
        <f t="shared" si="1"/>
        <v>0</v>
      </c>
      <c r="BF11" s="124">
        <f t="shared" si="1"/>
        <v>0</v>
      </c>
      <c r="BG11" s="125">
        <f t="shared" si="1"/>
        <v>0</v>
      </c>
      <c r="BH11" s="124">
        <f t="shared" si="1"/>
        <v>0</v>
      </c>
      <c r="BI11" s="125">
        <f t="shared" si="1"/>
        <v>0</v>
      </c>
      <c r="BJ11" s="124">
        <f t="shared" si="1"/>
        <v>0</v>
      </c>
      <c r="BK11" s="125">
        <f t="shared" si="1"/>
        <v>0</v>
      </c>
      <c r="BL11" s="124">
        <f t="shared" si="1"/>
        <v>0</v>
      </c>
      <c r="BM11" s="125">
        <f t="shared" si="1"/>
        <v>0</v>
      </c>
      <c r="BN11" s="124">
        <f t="shared" si="1"/>
        <v>0</v>
      </c>
      <c r="BO11" s="125">
        <f t="shared" si="1"/>
        <v>0</v>
      </c>
      <c r="BP11" s="124">
        <f t="shared" si="1"/>
        <v>0</v>
      </c>
      <c r="BQ11" s="125">
        <f t="shared" si="1"/>
        <v>0</v>
      </c>
      <c r="BR11" s="124">
        <f t="shared" si="1"/>
        <v>0</v>
      </c>
      <c r="BS11" s="125">
        <f t="shared" si="1"/>
        <v>0</v>
      </c>
      <c r="BT11" s="124">
        <f t="shared" si="1"/>
        <v>0</v>
      </c>
      <c r="BU11" s="125">
        <f t="shared" si="1"/>
        <v>0</v>
      </c>
      <c r="BV11" s="124">
        <f t="shared" si="1"/>
        <v>0</v>
      </c>
      <c r="BW11" s="125">
        <f t="shared" si="1"/>
        <v>0</v>
      </c>
      <c r="BX11" s="124">
        <f t="shared" si="1"/>
        <v>0</v>
      </c>
      <c r="BY11" s="125">
        <f t="shared" si="1"/>
        <v>0</v>
      </c>
      <c r="BZ11" s="124">
        <f t="shared" si="1"/>
        <v>0</v>
      </c>
      <c r="CA11" s="125">
        <f t="shared" si="1"/>
        <v>0</v>
      </c>
      <c r="CB11" s="124">
        <f t="shared" ref="CB11:CF11" si="2">SUBTOTAL(109,CB3:CB10)</f>
        <v>0</v>
      </c>
      <c r="CC11" s="125">
        <f t="shared" si="2"/>
        <v>0</v>
      </c>
      <c r="CD11" s="124">
        <f t="shared" si="2"/>
        <v>0</v>
      </c>
      <c r="CE11" s="125">
        <f t="shared" si="2"/>
        <v>0</v>
      </c>
      <c r="CF11" s="124">
        <f t="shared" si="2"/>
        <v>0</v>
      </c>
      <c r="CG11" s="125">
        <f>SUBTOTAL(109,CG3:CG10)</f>
        <v>0</v>
      </c>
    </row>
    <row r="12" spans="1:85" ht="15" thickBot="1" x14ac:dyDescent="0.4">
      <c r="B12" s="126">
        <f ca="1">B11+(C11*2350)</f>
        <v>39070875</v>
      </c>
      <c r="C12" s="127"/>
      <c r="D12" s="127">
        <f>D11+(E11*2350)</f>
        <v>9550900</v>
      </c>
      <c r="E12" s="127"/>
      <c r="F12" s="128">
        <f>F11+(G11*2350)</f>
        <v>19728207</v>
      </c>
      <c r="G12" s="129"/>
      <c r="H12" s="127">
        <f>H11+(I11*2350)</f>
        <v>12176950</v>
      </c>
      <c r="I12" s="130"/>
      <c r="J12" s="127">
        <f>J11+(K11*2350)</f>
        <v>20001025</v>
      </c>
      <c r="K12" s="130"/>
      <c r="L12" s="127">
        <f>L11+(M11*2350)</f>
        <v>29466275</v>
      </c>
      <c r="M12" s="130"/>
      <c r="N12" s="127">
        <f>N11+(O11*2350)</f>
        <v>0</v>
      </c>
      <c r="O12" s="130"/>
      <c r="P12" s="127">
        <f t="shared" ref="P12" si="3">P11+(Q11*2350)</f>
        <v>0</v>
      </c>
      <c r="Q12" s="130"/>
      <c r="R12" s="127">
        <f t="shared" ref="R12" si="4">R11+(S11*2350)</f>
        <v>0</v>
      </c>
      <c r="S12" s="130"/>
      <c r="T12" s="127">
        <f t="shared" ref="T12" si="5">T11+(U11*2350)</f>
        <v>0</v>
      </c>
      <c r="U12" s="130"/>
      <c r="V12" s="127">
        <f t="shared" ref="V12" si="6">V11+(W11*2350)</f>
        <v>0</v>
      </c>
      <c r="W12" s="130"/>
      <c r="X12" s="127">
        <f t="shared" ref="X12" si="7">X11+(Y11*2350)</f>
        <v>0</v>
      </c>
      <c r="Y12" s="130"/>
      <c r="Z12" s="127">
        <f t="shared" ref="Z12" si="8">Z11+(AA11*2350)</f>
        <v>0</v>
      </c>
      <c r="AA12" s="130"/>
      <c r="AB12" s="127">
        <f t="shared" ref="AB12" si="9">AB11+(AC11*2350)</f>
        <v>0</v>
      </c>
      <c r="AC12" s="130"/>
      <c r="AD12" s="127">
        <f t="shared" ref="AD12" si="10">AD11+(AE11*2350)</f>
        <v>0</v>
      </c>
      <c r="AE12" s="130"/>
      <c r="AF12" s="127">
        <f t="shared" ref="AF12" si="11">AF11+(AG11*2350)</f>
        <v>0</v>
      </c>
      <c r="AG12" s="130"/>
      <c r="AH12" s="127">
        <f t="shared" ref="AH12" si="12">AH11+(AI11*2350)</f>
        <v>0</v>
      </c>
      <c r="AI12" s="130"/>
      <c r="AJ12" s="127">
        <f t="shared" ref="AJ12" si="13">AJ11+(AK11*2350)</f>
        <v>0</v>
      </c>
      <c r="AK12" s="130"/>
      <c r="AL12" s="127">
        <f t="shared" ref="AL12" si="14">AL11+(AM11*2350)</f>
        <v>0</v>
      </c>
      <c r="AM12" s="130"/>
      <c r="AN12" s="127">
        <f t="shared" ref="AN12" si="15">AN11+(AO11*2350)</f>
        <v>0</v>
      </c>
      <c r="AO12" s="130"/>
      <c r="AP12" s="127">
        <f t="shared" ref="AP12" si="16">AP11+(AQ11*2350)</f>
        <v>0</v>
      </c>
      <c r="AQ12" s="130"/>
      <c r="AR12" s="127">
        <f t="shared" ref="AR12" si="17">AR11+(AS11*2350)</f>
        <v>0</v>
      </c>
      <c r="AS12" s="130"/>
      <c r="AT12" s="127">
        <f t="shared" ref="AT12" si="18">AT11+(AU11*2350)</f>
        <v>0</v>
      </c>
      <c r="AU12" s="130"/>
      <c r="AV12" s="127">
        <f t="shared" ref="AV12" si="19">AV11+(AW11*2350)</f>
        <v>0</v>
      </c>
      <c r="AW12" s="130"/>
      <c r="AX12" s="127">
        <f t="shared" ref="AX12" si="20">AX11+(AY11*2350)</f>
        <v>0</v>
      </c>
      <c r="AY12" s="130"/>
      <c r="AZ12" s="127">
        <f t="shared" ref="AZ12" si="21">AZ11+(BA11*2350)</f>
        <v>0</v>
      </c>
      <c r="BA12" s="130"/>
      <c r="BB12" s="127">
        <f t="shared" ref="BB12" si="22">BB11+(BC11*2350)</f>
        <v>0</v>
      </c>
      <c r="BC12" s="130"/>
      <c r="BD12" s="127">
        <f t="shared" ref="BD12" si="23">BD11+(BE11*2350)</f>
        <v>0</v>
      </c>
      <c r="BE12" s="130"/>
      <c r="BF12" s="127">
        <f t="shared" ref="BF12" si="24">BF11+(BG11*2350)</f>
        <v>0</v>
      </c>
      <c r="BG12" s="130"/>
      <c r="BH12" s="127">
        <f t="shared" ref="BH12" si="25">BH11+(BI11*2350)</f>
        <v>0</v>
      </c>
      <c r="BI12" s="130"/>
      <c r="BJ12" s="127">
        <f t="shared" ref="BJ12" si="26">BJ11+(BK11*2350)</f>
        <v>0</v>
      </c>
      <c r="BK12" s="130"/>
      <c r="BL12" s="127">
        <f t="shared" ref="BL12" si="27">BL11+(BM11*2350)</f>
        <v>0</v>
      </c>
      <c r="BM12" s="130"/>
      <c r="BN12" s="127">
        <f t="shared" ref="BN12" si="28">BN11+(BO11*2350)</f>
        <v>0</v>
      </c>
      <c r="BO12" s="130"/>
      <c r="BP12" s="127">
        <f t="shared" ref="BP12" si="29">BP11+(BQ11*2350)</f>
        <v>0</v>
      </c>
      <c r="BQ12" s="130"/>
      <c r="BR12" s="127">
        <f t="shared" ref="BR12" si="30">BR11+(BS11*2350)</f>
        <v>0</v>
      </c>
      <c r="BS12" s="130"/>
      <c r="BT12" s="127">
        <f t="shared" ref="BT12" si="31">BT11+(BU11*2350)</f>
        <v>0</v>
      </c>
      <c r="BU12" s="130"/>
      <c r="BV12" s="127">
        <f t="shared" ref="BV12" si="32">BV11+(BW11*2350)</f>
        <v>0</v>
      </c>
      <c r="BW12" s="130"/>
      <c r="BX12" s="127">
        <f t="shared" ref="BX12" si="33">BX11+(BY11*2350)</f>
        <v>0</v>
      </c>
      <c r="BY12" s="130"/>
      <c r="BZ12" s="127">
        <f t="shared" ref="BZ12" si="34">BZ11+(CA11*2350)</f>
        <v>0</v>
      </c>
      <c r="CA12" s="130"/>
      <c r="CB12" s="127">
        <f t="shared" ref="CB12" si="35">CB11+(CC11*2350)</f>
        <v>0</v>
      </c>
      <c r="CC12" s="130"/>
      <c r="CD12" s="127">
        <f t="shared" ref="CD12" si="36">CD11+(CE11*2350)</f>
        <v>0</v>
      </c>
      <c r="CE12" s="130"/>
      <c r="CF12" s="127">
        <f t="shared" ref="CF12" si="37">CF11+(CG11*2350)</f>
        <v>0</v>
      </c>
      <c r="CG12" s="130"/>
    </row>
    <row r="13" spans="1:85" ht="15" thickTop="1" x14ac:dyDescent="0.35"/>
    <row r="14" spans="1:85" ht="15" thickBot="1" x14ac:dyDescent="0.4"/>
    <row r="15" spans="1:85" ht="15" thickTop="1" x14ac:dyDescent="0.35">
      <c r="A15" s="112" t="s">
        <v>394</v>
      </c>
      <c r="C15" s="131">
        <f ca="1">B3+(C3*2350)</f>
        <v>5494550</v>
      </c>
      <c r="E15" s="131">
        <f t="shared" ref="E15:E22" si="38">D3+(E3*2350)</f>
        <v>470000</v>
      </c>
      <c r="G15" s="131">
        <f>F3+(G3*2350)</f>
        <v>2933802</v>
      </c>
      <c r="I15" s="131">
        <f t="shared" ref="I15" si="39">H3+(I3*2350)</f>
        <v>1527500</v>
      </c>
      <c r="J15" s="58"/>
      <c r="K15" s="131">
        <f t="shared" ref="K15" si="40">J3+(K3*2350)</f>
        <v>3812075</v>
      </c>
      <c r="L15" s="58"/>
      <c r="M15" s="131">
        <f t="shared" ref="M15" si="41">L3+(M3*2350)</f>
        <v>4586025</v>
      </c>
      <c r="N15" s="58"/>
      <c r="O15" s="131">
        <f t="shared" ref="O15" si="42">N3+(O3*2350)</f>
        <v>0</v>
      </c>
      <c r="P15" s="58"/>
      <c r="Q15" s="131">
        <f t="shared" ref="Q15" si="43">P3+(Q3*2350)</f>
        <v>0</v>
      </c>
      <c r="R15" s="58"/>
      <c r="S15" s="131">
        <f t="shared" ref="S15" si="44">R3+(S3*2350)</f>
        <v>0</v>
      </c>
      <c r="T15" s="58"/>
      <c r="U15" s="131">
        <f t="shared" ref="U15" si="45">T3+(U3*2350)</f>
        <v>0</v>
      </c>
      <c r="V15" s="58"/>
      <c r="W15" s="131">
        <f t="shared" ref="W15" si="46">V3+(W3*2350)</f>
        <v>0</v>
      </c>
      <c r="X15" s="58"/>
      <c r="Y15" s="131">
        <f t="shared" ref="Y15" si="47">X3+(Y3*2350)</f>
        <v>0</v>
      </c>
      <c r="Z15" s="58"/>
      <c r="AA15" s="131">
        <f t="shared" ref="AA15" si="48">Z3+(AA3*2350)</f>
        <v>0</v>
      </c>
      <c r="AB15" s="58"/>
      <c r="AC15" s="131">
        <f t="shared" ref="AC15" si="49">AB3+(AC3*2350)</f>
        <v>0</v>
      </c>
      <c r="AD15" s="58"/>
      <c r="AE15" s="131">
        <f t="shared" ref="AE15" si="50">AD3+(AE3*2350)</f>
        <v>0</v>
      </c>
      <c r="AF15" s="58"/>
      <c r="AG15" s="131">
        <f t="shared" ref="AG15" si="51">AF3+(AG3*2350)</f>
        <v>0</v>
      </c>
      <c r="AH15" s="58"/>
      <c r="AI15" s="131">
        <f t="shared" ref="AI15" si="52">AH3+(AI3*2350)</f>
        <v>0</v>
      </c>
      <c r="AJ15" s="58"/>
      <c r="AK15" s="131">
        <f t="shared" ref="AK15" si="53">AJ3+(AK3*2350)</f>
        <v>0</v>
      </c>
      <c r="AL15" s="58"/>
      <c r="AM15" s="131">
        <f t="shared" ref="AM15" si="54">AL3+(AM3*2350)</f>
        <v>0</v>
      </c>
      <c r="AN15" s="58"/>
      <c r="AO15" s="131">
        <f t="shared" ref="AO15" si="55">AN3+(AO3*2350)</f>
        <v>0</v>
      </c>
      <c r="AP15" s="58"/>
      <c r="AQ15" s="131">
        <f t="shared" ref="AQ15" si="56">AP3+(AQ3*2350)</f>
        <v>0</v>
      </c>
      <c r="AR15" s="58"/>
      <c r="AS15" s="131">
        <f t="shared" ref="AS15" si="57">AR3+(AS3*2350)</f>
        <v>0</v>
      </c>
      <c r="AT15" s="58"/>
      <c r="AU15" s="131">
        <f t="shared" ref="AU15" si="58">AT3+(AU3*2350)</f>
        <v>0</v>
      </c>
      <c r="AV15" s="58"/>
      <c r="AW15" s="131">
        <f t="shared" ref="AW15" si="59">AV3+(AW3*2350)</f>
        <v>0</v>
      </c>
      <c r="AX15" s="58"/>
      <c r="AY15" s="131">
        <f t="shared" ref="AY15" si="60">AX3+(AY3*2350)</f>
        <v>0</v>
      </c>
      <c r="AZ15" s="58"/>
      <c r="BA15" s="131">
        <f t="shared" ref="BA15" si="61">AZ3+(BA3*2350)</f>
        <v>0</v>
      </c>
      <c r="BB15" s="58"/>
      <c r="BC15" s="131">
        <f t="shared" ref="BC15" si="62">BB3+(BC3*2350)</f>
        <v>0</v>
      </c>
      <c r="BD15" s="58"/>
      <c r="BE15" s="131">
        <f t="shared" ref="BE15" si="63">BD3+(BE3*2350)</f>
        <v>0</v>
      </c>
      <c r="BF15" s="58"/>
      <c r="BG15" s="131">
        <f t="shared" ref="BG15" si="64">BF3+(BG3*2350)</f>
        <v>0</v>
      </c>
      <c r="BH15" s="58"/>
      <c r="BI15" s="131">
        <f t="shared" ref="BI15" si="65">BH3+(BI3*2350)</f>
        <v>0</v>
      </c>
      <c r="BJ15" s="58"/>
      <c r="BK15" s="131">
        <f t="shared" ref="BK15" si="66">BJ3+(BK3*2350)</f>
        <v>0</v>
      </c>
      <c r="BL15" s="58"/>
      <c r="BM15" s="131">
        <f t="shared" ref="BM15" si="67">BL3+(BM3*2350)</f>
        <v>0</v>
      </c>
      <c r="BN15" s="58"/>
      <c r="BO15" s="131">
        <f t="shared" ref="BO15" si="68">BN3+(BO3*2350)</f>
        <v>0</v>
      </c>
      <c r="BP15" s="58"/>
      <c r="BQ15" s="131">
        <f t="shared" ref="BQ15" si="69">BP3+(BQ3*2350)</f>
        <v>0</v>
      </c>
      <c r="BR15" s="58"/>
      <c r="BS15" s="131">
        <f t="shared" ref="BS15" si="70">BR3+(BS3*2350)</f>
        <v>0</v>
      </c>
      <c r="BT15" s="58"/>
      <c r="BU15" s="131">
        <f t="shared" ref="BU15" si="71">BT3+(BU3*2350)</f>
        <v>0</v>
      </c>
      <c r="BV15" s="58"/>
      <c r="BW15" s="131">
        <f t="shared" ref="BW15" si="72">BV3+(BW3*2350)</f>
        <v>0</v>
      </c>
      <c r="BX15" s="58"/>
      <c r="BY15" s="131">
        <f t="shared" ref="BY15" si="73">BX3+(BY3*2350)</f>
        <v>0</v>
      </c>
      <c r="BZ15" s="58"/>
      <c r="CA15" s="131">
        <f t="shared" ref="CA15" si="74">BZ3+(CA3*2350)</f>
        <v>0</v>
      </c>
      <c r="CB15" s="58"/>
      <c r="CC15" s="131">
        <f t="shared" ref="CC15" si="75">CB3+(CC3*2350)</f>
        <v>0</v>
      </c>
      <c r="CD15" s="58"/>
      <c r="CE15" s="131">
        <f t="shared" ref="CE15" si="76">CD3+(CE3*2350)</f>
        <v>0</v>
      </c>
      <c r="CF15" s="58"/>
      <c r="CG15" s="131">
        <f t="shared" ref="CG15" si="77">CF3+(CG3*2350)</f>
        <v>0</v>
      </c>
    </row>
    <row r="16" spans="1:85" x14ac:dyDescent="0.35">
      <c r="A16" s="112" t="s">
        <v>10</v>
      </c>
      <c r="C16" s="132">
        <f t="shared" ref="C16:C22" ca="1" si="78">B4+(C4*2350)</f>
        <v>885000</v>
      </c>
      <c r="E16" s="132">
        <f t="shared" ref="E16:E21" si="79">D5+(E5*2350)</f>
        <v>2746400</v>
      </c>
      <c r="G16" s="132">
        <f t="shared" ref="G16:G21" si="80">F5+(G5*2350)</f>
        <v>2529550</v>
      </c>
      <c r="I16" s="132">
        <f t="shared" ref="I16:I21" si="81">H5+(I5*2350)</f>
        <v>3371400</v>
      </c>
      <c r="J16" s="58"/>
      <c r="K16" s="132">
        <f t="shared" ref="K16:K21" si="82">J5+(K5*2350)</f>
        <v>5646300</v>
      </c>
      <c r="L16" s="58"/>
      <c r="M16" s="132">
        <f t="shared" ref="M16" si="83">L5+(M5*2350)</f>
        <v>4067100</v>
      </c>
      <c r="N16" s="58"/>
      <c r="O16" s="132">
        <f t="shared" ref="O16" si="84">N5+(O5*2350)</f>
        <v>0</v>
      </c>
      <c r="P16" s="58"/>
      <c r="Q16" s="132">
        <f t="shared" ref="Q16" si="85">P5+(Q5*2350)</f>
        <v>0</v>
      </c>
      <c r="R16" s="58"/>
      <c r="S16" s="132">
        <f t="shared" ref="S16" si="86">R5+(S5*2350)</f>
        <v>0</v>
      </c>
      <c r="T16" s="58"/>
      <c r="U16" s="132">
        <f t="shared" ref="U16" si="87">T5+(U5*2350)</f>
        <v>0</v>
      </c>
      <c r="V16" s="58"/>
      <c r="W16" s="132">
        <f t="shared" ref="W16" si="88">V5+(W5*2350)</f>
        <v>0</v>
      </c>
      <c r="X16" s="58"/>
      <c r="Y16" s="132">
        <f t="shared" ref="Y16" si="89">X5+(Y5*2350)</f>
        <v>0</v>
      </c>
      <c r="Z16" s="58"/>
      <c r="AA16" s="132">
        <f t="shared" ref="AA16" si="90">Z5+(AA5*2350)</f>
        <v>0</v>
      </c>
      <c r="AB16" s="58"/>
      <c r="AC16" s="132">
        <f t="shared" ref="AC16" si="91">AB5+(AC5*2350)</f>
        <v>0</v>
      </c>
      <c r="AD16" s="58"/>
      <c r="AE16" s="132">
        <f t="shared" ref="AE16" si="92">AD5+(AE5*2350)</f>
        <v>0</v>
      </c>
      <c r="AF16" s="58"/>
      <c r="AG16" s="132">
        <f t="shared" ref="AG16" si="93">AF5+(AG5*2350)</f>
        <v>0</v>
      </c>
      <c r="AH16" s="58"/>
      <c r="AI16" s="132">
        <f t="shared" ref="AI16" si="94">AH5+(AI5*2350)</f>
        <v>0</v>
      </c>
      <c r="AJ16" s="58"/>
      <c r="AK16" s="132">
        <f t="shared" ref="AK16" si="95">AJ5+(AK5*2350)</f>
        <v>0</v>
      </c>
      <c r="AL16" s="58"/>
      <c r="AM16" s="132">
        <f t="shared" ref="AM16" si="96">AL5+(AM5*2350)</f>
        <v>0</v>
      </c>
      <c r="AN16" s="58"/>
      <c r="AO16" s="132">
        <f t="shared" ref="AO16" si="97">AN5+(AO5*2350)</f>
        <v>0</v>
      </c>
      <c r="AP16" s="58"/>
      <c r="AQ16" s="132">
        <f t="shared" ref="AQ16" si="98">AP5+(AQ5*2350)</f>
        <v>0</v>
      </c>
      <c r="AR16" s="58"/>
      <c r="AS16" s="132">
        <f t="shared" ref="AS16" si="99">AR5+(AS5*2350)</f>
        <v>0</v>
      </c>
      <c r="AT16" s="58"/>
      <c r="AU16" s="132">
        <f t="shared" ref="AU16" si="100">AT5+(AU5*2350)</f>
        <v>0</v>
      </c>
      <c r="AV16" s="58"/>
      <c r="AW16" s="132">
        <f t="shared" ref="AW16" si="101">AV5+(AW5*2350)</f>
        <v>0</v>
      </c>
      <c r="AX16" s="58"/>
      <c r="AY16" s="132">
        <f t="shared" ref="AY16" si="102">AX5+(AY5*2350)</f>
        <v>0</v>
      </c>
      <c r="AZ16" s="58"/>
      <c r="BA16" s="132">
        <f t="shared" ref="BA16" si="103">AZ5+(BA5*2350)</f>
        <v>0</v>
      </c>
      <c r="BB16" s="58"/>
      <c r="BC16" s="132">
        <f t="shared" ref="BC16" si="104">BB5+(BC5*2350)</f>
        <v>0</v>
      </c>
      <c r="BD16" s="58"/>
      <c r="BE16" s="132">
        <f t="shared" ref="BE16" si="105">BD5+(BE5*2350)</f>
        <v>0</v>
      </c>
      <c r="BF16" s="58"/>
      <c r="BG16" s="132">
        <f t="shared" ref="BG16" si="106">BF5+(BG5*2350)</f>
        <v>0</v>
      </c>
      <c r="BH16" s="58"/>
      <c r="BI16" s="132">
        <f t="shared" ref="BI16" si="107">BH5+(BI5*2350)</f>
        <v>0</v>
      </c>
      <c r="BJ16" s="58"/>
      <c r="BK16" s="132">
        <f t="shared" ref="BK16" si="108">BJ5+(BK5*2350)</f>
        <v>0</v>
      </c>
      <c r="BL16" s="58"/>
      <c r="BM16" s="132">
        <f t="shared" ref="BM16" si="109">BL5+(BM5*2350)</f>
        <v>0</v>
      </c>
      <c r="BN16" s="58"/>
      <c r="BO16" s="132">
        <f t="shared" ref="BO16" si="110">BN5+(BO5*2350)</f>
        <v>0</v>
      </c>
      <c r="BP16" s="58"/>
      <c r="BQ16" s="132">
        <f t="shared" ref="BQ16" si="111">BP5+(BQ5*2350)</f>
        <v>0</v>
      </c>
      <c r="BR16" s="58"/>
      <c r="BS16" s="132">
        <f t="shared" ref="BS16" si="112">BR5+(BS5*2350)</f>
        <v>0</v>
      </c>
      <c r="BT16" s="58"/>
      <c r="BU16" s="132">
        <f t="shared" ref="BU16" si="113">BT5+(BU5*2350)</f>
        <v>0</v>
      </c>
      <c r="BV16" s="58"/>
      <c r="BW16" s="132">
        <f t="shared" ref="BW16" si="114">BV5+(BW5*2350)</f>
        <v>0</v>
      </c>
      <c r="BX16" s="58"/>
      <c r="BY16" s="132">
        <f t="shared" ref="BY16" si="115">BX5+(BY5*2350)</f>
        <v>0</v>
      </c>
      <c r="BZ16" s="58"/>
      <c r="CA16" s="132">
        <f t="shared" ref="CA16" si="116">BZ5+(CA5*2350)</f>
        <v>0</v>
      </c>
      <c r="CB16" s="58"/>
      <c r="CC16" s="132">
        <f t="shared" ref="CC16" si="117">CB5+(CC5*2350)</f>
        <v>0</v>
      </c>
      <c r="CD16" s="58"/>
      <c r="CE16" s="132">
        <f t="shared" ref="CE16" si="118">CD5+(CE5*2350)</f>
        <v>0</v>
      </c>
      <c r="CF16" s="58"/>
      <c r="CG16" s="132">
        <f t="shared" ref="CG16:CG20" si="119">CF5+(CG5*2350)</f>
        <v>0</v>
      </c>
    </row>
    <row r="17" spans="1:85" x14ac:dyDescent="0.35">
      <c r="A17" s="112" t="s">
        <v>19</v>
      </c>
      <c r="C17" s="132">
        <f t="shared" ca="1" si="78"/>
        <v>9065300</v>
      </c>
      <c r="E17" s="132">
        <f t="shared" si="79"/>
        <v>834250</v>
      </c>
      <c r="G17" s="132">
        <f t="shared" si="80"/>
        <v>1410000</v>
      </c>
      <c r="I17" s="132">
        <f t="shared" si="81"/>
        <v>705000</v>
      </c>
      <c r="J17" s="58"/>
      <c r="K17" s="132">
        <f t="shared" si="82"/>
        <v>1175000</v>
      </c>
      <c r="L17" s="58"/>
      <c r="M17" s="132">
        <f t="shared" ref="M17" si="120">L6+(M6*2350)</f>
        <v>4935000</v>
      </c>
      <c r="N17" s="58"/>
      <c r="O17" s="132">
        <f t="shared" ref="O17" si="121">N6+(O6*2350)</f>
        <v>0</v>
      </c>
      <c r="P17" s="58"/>
      <c r="Q17" s="132">
        <f t="shared" ref="Q17" si="122">P6+(Q6*2350)</f>
        <v>0</v>
      </c>
      <c r="R17" s="58"/>
      <c r="S17" s="132">
        <f t="shared" ref="S17" si="123">R6+(S6*2350)</f>
        <v>0</v>
      </c>
      <c r="T17" s="58"/>
      <c r="U17" s="132">
        <f t="shared" ref="U17" si="124">T6+(U6*2350)</f>
        <v>0</v>
      </c>
      <c r="V17" s="58"/>
      <c r="W17" s="132">
        <f t="shared" ref="W17" si="125">V6+(W6*2350)</f>
        <v>0</v>
      </c>
      <c r="X17" s="58"/>
      <c r="Y17" s="132">
        <f t="shared" ref="Y17" si="126">X6+(Y6*2350)</f>
        <v>0</v>
      </c>
      <c r="Z17" s="58"/>
      <c r="AA17" s="132">
        <f t="shared" ref="AA17" si="127">Z6+(AA6*2350)</f>
        <v>0</v>
      </c>
      <c r="AB17" s="58"/>
      <c r="AC17" s="132">
        <f t="shared" ref="AC17" si="128">AB6+(AC6*2350)</f>
        <v>0</v>
      </c>
      <c r="AD17" s="58"/>
      <c r="AE17" s="132">
        <f t="shared" ref="AE17" si="129">AD6+(AE6*2350)</f>
        <v>0</v>
      </c>
      <c r="AF17" s="58"/>
      <c r="AG17" s="132">
        <f t="shared" ref="AG17" si="130">AF6+(AG6*2350)</f>
        <v>0</v>
      </c>
      <c r="AH17" s="58"/>
      <c r="AI17" s="132">
        <f t="shared" ref="AI17" si="131">AH6+(AI6*2350)</f>
        <v>0</v>
      </c>
      <c r="AJ17" s="58"/>
      <c r="AK17" s="132">
        <f t="shared" ref="AK17" si="132">AJ6+(AK6*2350)</f>
        <v>0</v>
      </c>
      <c r="AL17" s="58"/>
      <c r="AM17" s="132">
        <f t="shared" ref="AM17" si="133">AL6+(AM6*2350)</f>
        <v>0</v>
      </c>
      <c r="AN17" s="58"/>
      <c r="AO17" s="132">
        <f t="shared" ref="AO17" si="134">AN6+(AO6*2350)</f>
        <v>0</v>
      </c>
      <c r="AP17" s="58"/>
      <c r="AQ17" s="132">
        <f t="shared" ref="AQ17" si="135">AP6+(AQ6*2350)</f>
        <v>0</v>
      </c>
      <c r="AR17" s="58"/>
      <c r="AS17" s="132">
        <f t="shared" ref="AS17" si="136">AR6+(AS6*2350)</f>
        <v>0</v>
      </c>
      <c r="AT17" s="58"/>
      <c r="AU17" s="132">
        <f t="shared" ref="AU17" si="137">AT6+(AU6*2350)</f>
        <v>0</v>
      </c>
      <c r="AV17" s="58"/>
      <c r="AW17" s="132">
        <f t="shared" ref="AW17" si="138">AV6+(AW6*2350)</f>
        <v>0</v>
      </c>
      <c r="AX17" s="58"/>
      <c r="AY17" s="132">
        <f t="shared" ref="AY17" si="139">AX6+(AY6*2350)</f>
        <v>0</v>
      </c>
      <c r="AZ17" s="58"/>
      <c r="BA17" s="132">
        <f t="shared" ref="BA17" si="140">AZ6+(BA6*2350)</f>
        <v>0</v>
      </c>
      <c r="BB17" s="58"/>
      <c r="BC17" s="132">
        <f t="shared" ref="BC17" si="141">BB6+(BC6*2350)</f>
        <v>0</v>
      </c>
      <c r="BD17" s="58"/>
      <c r="BE17" s="132">
        <f t="shared" ref="BE17" si="142">BD6+(BE6*2350)</f>
        <v>0</v>
      </c>
      <c r="BF17" s="58"/>
      <c r="BG17" s="132">
        <f t="shared" ref="BG17" si="143">BF6+(BG6*2350)</f>
        <v>0</v>
      </c>
      <c r="BH17" s="58"/>
      <c r="BI17" s="132">
        <f t="shared" ref="BI17" si="144">BH6+(BI6*2350)</f>
        <v>0</v>
      </c>
      <c r="BJ17" s="58"/>
      <c r="BK17" s="132">
        <f t="shared" ref="BK17" si="145">BJ6+(BK6*2350)</f>
        <v>0</v>
      </c>
      <c r="BL17" s="58"/>
      <c r="BM17" s="132">
        <f t="shared" ref="BM17" si="146">BL6+(BM6*2350)</f>
        <v>0</v>
      </c>
      <c r="BN17" s="58"/>
      <c r="BO17" s="132">
        <f t="shared" ref="BO17" si="147">BN6+(BO6*2350)</f>
        <v>0</v>
      </c>
      <c r="BP17" s="58"/>
      <c r="BQ17" s="132">
        <f t="shared" ref="BQ17" si="148">BP6+(BQ6*2350)</f>
        <v>0</v>
      </c>
      <c r="BR17" s="58"/>
      <c r="BS17" s="132">
        <f t="shared" ref="BS17" si="149">BR6+(BS6*2350)</f>
        <v>0</v>
      </c>
      <c r="BT17" s="58"/>
      <c r="BU17" s="132">
        <f t="shared" ref="BU17" si="150">BT6+(BU6*2350)</f>
        <v>0</v>
      </c>
      <c r="BV17" s="58"/>
      <c r="BW17" s="132">
        <f t="shared" ref="BW17" si="151">BV6+(BW6*2350)</f>
        <v>0</v>
      </c>
      <c r="BX17" s="58"/>
      <c r="BY17" s="132">
        <f t="shared" ref="BY17" si="152">BX6+(BY6*2350)</f>
        <v>0</v>
      </c>
      <c r="BZ17" s="58"/>
      <c r="CA17" s="132">
        <f t="shared" ref="CA17" si="153">BZ6+(CA6*2350)</f>
        <v>0</v>
      </c>
      <c r="CB17" s="58"/>
      <c r="CC17" s="132">
        <f t="shared" ref="CC17" si="154">CB6+(CC6*2350)</f>
        <v>0</v>
      </c>
      <c r="CD17" s="58"/>
      <c r="CE17" s="132">
        <f t="shared" ref="CE17" si="155">CD6+(CE6*2350)</f>
        <v>0</v>
      </c>
      <c r="CF17" s="58"/>
      <c r="CG17" s="132">
        <f t="shared" si="119"/>
        <v>0</v>
      </c>
    </row>
    <row r="18" spans="1:85" x14ac:dyDescent="0.35">
      <c r="A18" s="112" t="s">
        <v>15</v>
      </c>
      <c r="C18" s="132">
        <f t="shared" ca="1" si="78"/>
        <v>12990000</v>
      </c>
      <c r="E18" s="132">
        <f t="shared" si="79"/>
        <v>2655500</v>
      </c>
      <c r="G18" s="132">
        <f t="shared" si="80"/>
        <v>11088005</v>
      </c>
      <c r="I18" s="132">
        <f t="shared" si="81"/>
        <v>5811550</v>
      </c>
      <c r="J18" s="58"/>
      <c r="K18" s="132">
        <f t="shared" si="82"/>
        <v>4879500</v>
      </c>
      <c r="L18" s="58"/>
      <c r="M18" s="132">
        <f t="shared" ref="M18" si="156">L7+(M7*2350)</f>
        <v>12696150</v>
      </c>
      <c r="N18" s="58"/>
      <c r="O18" s="132">
        <f t="shared" ref="O18" si="157">N7+(O7*2350)</f>
        <v>0</v>
      </c>
      <c r="P18" s="58"/>
      <c r="Q18" s="132">
        <f t="shared" ref="Q18" si="158">P7+(Q7*2350)</f>
        <v>0</v>
      </c>
      <c r="R18" s="58"/>
      <c r="S18" s="132">
        <f t="shared" ref="S18" si="159">R7+(S7*2350)</f>
        <v>0</v>
      </c>
      <c r="T18" s="58"/>
      <c r="U18" s="132">
        <f t="shared" ref="U18" si="160">T7+(U7*2350)</f>
        <v>0</v>
      </c>
      <c r="V18" s="58"/>
      <c r="W18" s="132">
        <f t="shared" ref="W18" si="161">V7+(W7*2350)</f>
        <v>0</v>
      </c>
      <c r="X18" s="58"/>
      <c r="Y18" s="132">
        <f t="shared" ref="Y18" si="162">X7+(Y7*2350)</f>
        <v>0</v>
      </c>
      <c r="Z18" s="58"/>
      <c r="AA18" s="132">
        <f t="shared" ref="AA18" si="163">Z7+(AA7*2350)</f>
        <v>0</v>
      </c>
      <c r="AB18" s="58"/>
      <c r="AC18" s="132">
        <f t="shared" ref="AC18" si="164">AB7+(AC7*2350)</f>
        <v>0</v>
      </c>
      <c r="AD18" s="58"/>
      <c r="AE18" s="132">
        <f t="shared" ref="AE18" si="165">AD7+(AE7*2350)</f>
        <v>0</v>
      </c>
      <c r="AF18" s="58"/>
      <c r="AG18" s="132">
        <f t="shared" ref="AG18" si="166">AF7+(AG7*2350)</f>
        <v>0</v>
      </c>
      <c r="AH18" s="58"/>
      <c r="AI18" s="132">
        <f t="shared" ref="AI18" si="167">AH7+(AI7*2350)</f>
        <v>0</v>
      </c>
      <c r="AJ18" s="58"/>
      <c r="AK18" s="132">
        <f t="shared" ref="AK18" si="168">AJ7+(AK7*2350)</f>
        <v>0</v>
      </c>
      <c r="AL18" s="58"/>
      <c r="AM18" s="132">
        <f t="shared" ref="AM18" si="169">AL7+(AM7*2350)</f>
        <v>0</v>
      </c>
      <c r="AN18" s="58"/>
      <c r="AO18" s="132">
        <f t="shared" ref="AO18" si="170">AN7+(AO7*2350)</f>
        <v>0</v>
      </c>
      <c r="AP18" s="58"/>
      <c r="AQ18" s="132">
        <f t="shared" ref="AQ18" si="171">AP7+(AQ7*2350)</f>
        <v>0</v>
      </c>
      <c r="AR18" s="58"/>
      <c r="AS18" s="132">
        <f t="shared" ref="AS18" si="172">AR7+(AS7*2350)</f>
        <v>0</v>
      </c>
      <c r="AT18" s="58"/>
      <c r="AU18" s="132">
        <f t="shared" ref="AU18" si="173">AT7+(AU7*2350)</f>
        <v>0</v>
      </c>
      <c r="AV18" s="58"/>
      <c r="AW18" s="132">
        <f t="shared" ref="AW18" si="174">AV7+(AW7*2350)</f>
        <v>0</v>
      </c>
      <c r="AX18" s="58"/>
      <c r="AY18" s="132">
        <f t="shared" ref="AY18" si="175">AX7+(AY7*2350)</f>
        <v>0</v>
      </c>
      <c r="AZ18" s="58"/>
      <c r="BA18" s="132">
        <f t="shared" ref="BA18" si="176">AZ7+(BA7*2350)</f>
        <v>0</v>
      </c>
      <c r="BB18" s="58"/>
      <c r="BC18" s="132">
        <f t="shared" ref="BC18" si="177">BB7+(BC7*2350)</f>
        <v>0</v>
      </c>
      <c r="BD18" s="58"/>
      <c r="BE18" s="132">
        <f t="shared" ref="BE18" si="178">BD7+(BE7*2350)</f>
        <v>0</v>
      </c>
      <c r="BF18" s="58"/>
      <c r="BG18" s="132">
        <f t="shared" ref="BG18" si="179">BF7+(BG7*2350)</f>
        <v>0</v>
      </c>
      <c r="BH18" s="58"/>
      <c r="BI18" s="132">
        <f t="shared" ref="BI18" si="180">BH7+(BI7*2350)</f>
        <v>0</v>
      </c>
      <c r="BJ18" s="58"/>
      <c r="BK18" s="132">
        <f t="shared" ref="BK18" si="181">BJ7+(BK7*2350)</f>
        <v>0</v>
      </c>
      <c r="BL18" s="58"/>
      <c r="BM18" s="132">
        <f t="shared" ref="BM18" si="182">BL7+(BM7*2350)</f>
        <v>0</v>
      </c>
      <c r="BN18" s="58"/>
      <c r="BO18" s="132">
        <f t="shared" ref="BO18" si="183">BN7+(BO7*2350)</f>
        <v>0</v>
      </c>
      <c r="BP18" s="58"/>
      <c r="BQ18" s="132">
        <f t="shared" ref="BQ18" si="184">BP7+(BQ7*2350)</f>
        <v>0</v>
      </c>
      <c r="BR18" s="58"/>
      <c r="BS18" s="132">
        <f t="shared" ref="BS18" si="185">BR7+(BS7*2350)</f>
        <v>0</v>
      </c>
      <c r="BT18" s="58"/>
      <c r="BU18" s="132">
        <f t="shared" ref="BU18" si="186">BT7+(BU7*2350)</f>
        <v>0</v>
      </c>
      <c r="BV18" s="58"/>
      <c r="BW18" s="132">
        <f t="shared" ref="BW18" si="187">BV7+(BW7*2350)</f>
        <v>0</v>
      </c>
      <c r="BX18" s="58"/>
      <c r="BY18" s="132">
        <f t="shared" ref="BY18" si="188">BX7+(BY7*2350)</f>
        <v>0</v>
      </c>
      <c r="BZ18" s="58"/>
      <c r="CA18" s="132">
        <f t="shared" ref="CA18" si="189">BZ7+(CA7*2350)</f>
        <v>0</v>
      </c>
      <c r="CB18" s="58"/>
      <c r="CC18" s="132">
        <f t="shared" ref="CC18" si="190">CB7+(CC7*2350)</f>
        <v>0</v>
      </c>
      <c r="CD18" s="58"/>
      <c r="CE18" s="132">
        <f t="shared" ref="CE18" si="191">CD7+(CE7*2350)</f>
        <v>0</v>
      </c>
      <c r="CF18" s="58"/>
      <c r="CG18" s="132">
        <f t="shared" si="119"/>
        <v>0</v>
      </c>
    </row>
    <row r="19" spans="1:85" x14ac:dyDescent="0.35">
      <c r="A19" s="112" t="s">
        <v>7</v>
      </c>
      <c r="C19" s="132">
        <f t="shared" ca="1" si="78"/>
        <v>8011025</v>
      </c>
      <c r="E19" s="132">
        <f t="shared" si="79"/>
        <v>0</v>
      </c>
      <c r="G19" s="132">
        <f t="shared" si="80"/>
        <v>942000</v>
      </c>
      <c r="I19" s="132">
        <f t="shared" si="81"/>
        <v>0</v>
      </c>
      <c r="J19" s="58"/>
      <c r="K19" s="132">
        <f t="shared" si="82"/>
        <v>1615000</v>
      </c>
      <c r="L19" s="58"/>
      <c r="M19" s="132">
        <f t="shared" ref="M19" si="192">L8+(M8*2350)</f>
        <v>1962000</v>
      </c>
      <c r="N19" s="58"/>
      <c r="O19" s="132">
        <f t="shared" ref="O19" si="193">N8+(O8*2350)</f>
        <v>0</v>
      </c>
      <c r="P19" s="58"/>
      <c r="Q19" s="132">
        <f t="shared" ref="Q19" si="194">P8+(Q8*2350)</f>
        <v>0</v>
      </c>
      <c r="R19" s="58"/>
      <c r="S19" s="132">
        <f t="shared" ref="S19" si="195">R8+(S8*2350)</f>
        <v>0</v>
      </c>
      <c r="T19" s="58"/>
      <c r="U19" s="132">
        <f t="shared" ref="U19" si="196">T8+(U8*2350)</f>
        <v>0</v>
      </c>
      <c r="V19" s="58"/>
      <c r="W19" s="132">
        <f t="shared" ref="W19" si="197">V8+(W8*2350)</f>
        <v>0</v>
      </c>
      <c r="X19" s="58"/>
      <c r="Y19" s="132">
        <f t="shared" ref="Y19" si="198">X8+(Y8*2350)</f>
        <v>0</v>
      </c>
      <c r="Z19" s="58"/>
      <c r="AA19" s="132">
        <f t="shared" ref="AA19" si="199">Z8+(AA8*2350)</f>
        <v>0</v>
      </c>
      <c r="AB19" s="58"/>
      <c r="AC19" s="132">
        <f t="shared" ref="AC19" si="200">AB8+(AC8*2350)</f>
        <v>0</v>
      </c>
      <c r="AD19" s="58"/>
      <c r="AE19" s="132">
        <f t="shared" ref="AE19" si="201">AD8+(AE8*2350)</f>
        <v>0</v>
      </c>
      <c r="AF19" s="58"/>
      <c r="AG19" s="132">
        <f t="shared" ref="AG19" si="202">AF8+(AG8*2350)</f>
        <v>0</v>
      </c>
      <c r="AH19" s="58"/>
      <c r="AI19" s="132">
        <f t="shared" ref="AI19" si="203">AH8+(AI8*2350)</f>
        <v>0</v>
      </c>
      <c r="AJ19" s="58"/>
      <c r="AK19" s="132">
        <f t="shared" ref="AK19" si="204">AJ8+(AK8*2350)</f>
        <v>0</v>
      </c>
      <c r="AL19" s="58"/>
      <c r="AM19" s="132">
        <f t="shared" ref="AM19" si="205">AL8+(AM8*2350)</f>
        <v>0</v>
      </c>
      <c r="AN19" s="58"/>
      <c r="AO19" s="132">
        <f t="shared" ref="AO19" si="206">AN8+(AO8*2350)</f>
        <v>0</v>
      </c>
      <c r="AP19" s="58"/>
      <c r="AQ19" s="132">
        <f t="shared" ref="AQ19" si="207">AP8+(AQ8*2350)</f>
        <v>0</v>
      </c>
      <c r="AR19" s="58"/>
      <c r="AS19" s="132">
        <f t="shared" ref="AS19" si="208">AR8+(AS8*2350)</f>
        <v>0</v>
      </c>
      <c r="AT19" s="58"/>
      <c r="AU19" s="132">
        <f t="shared" ref="AU19" si="209">AT8+(AU8*2350)</f>
        <v>0</v>
      </c>
      <c r="AV19" s="58"/>
      <c r="AW19" s="132">
        <f t="shared" ref="AW19" si="210">AV8+(AW8*2350)</f>
        <v>0</v>
      </c>
      <c r="AX19" s="58"/>
      <c r="AY19" s="132">
        <f t="shared" ref="AY19" si="211">AX8+(AY8*2350)</f>
        <v>0</v>
      </c>
      <c r="AZ19" s="58"/>
      <c r="BA19" s="132">
        <f t="shared" ref="BA19" si="212">AZ8+(BA8*2350)</f>
        <v>0</v>
      </c>
      <c r="BB19" s="58"/>
      <c r="BC19" s="132">
        <f t="shared" ref="BC19" si="213">BB8+(BC8*2350)</f>
        <v>0</v>
      </c>
      <c r="BD19" s="58"/>
      <c r="BE19" s="132">
        <f t="shared" ref="BE19" si="214">BD8+(BE8*2350)</f>
        <v>0</v>
      </c>
      <c r="BF19" s="58"/>
      <c r="BG19" s="132">
        <f t="shared" ref="BG19" si="215">BF8+(BG8*2350)</f>
        <v>0</v>
      </c>
      <c r="BH19" s="58"/>
      <c r="BI19" s="132">
        <f t="shared" ref="BI19" si="216">BH8+(BI8*2350)</f>
        <v>0</v>
      </c>
      <c r="BJ19" s="58"/>
      <c r="BK19" s="132">
        <f t="shared" ref="BK19" si="217">BJ8+(BK8*2350)</f>
        <v>0</v>
      </c>
      <c r="BL19" s="58"/>
      <c r="BM19" s="132">
        <f t="shared" ref="BM19" si="218">BL8+(BM8*2350)</f>
        <v>0</v>
      </c>
      <c r="BN19" s="58"/>
      <c r="BO19" s="132">
        <f t="shared" ref="BO19" si="219">BN8+(BO8*2350)</f>
        <v>0</v>
      </c>
      <c r="BP19" s="58"/>
      <c r="BQ19" s="132">
        <f t="shared" ref="BQ19" si="220">BP8+(BQ8*2350)</f>
        <v>0</v>
      </c>
      <c r="BR19" s="58"/>
      <c r="BS19" s="132">
        <f t="shared" ref="BS19" si="221">BR8+(BS8*2350)</f>
        <v>0</v>
      </c>
      <c r="BT19" s="58"/>
      <c r="BU19" s="132">
        <f t="shared" ref="BU19" si="222">BT8+(BU8*2350)</f>
        <v>0</v>
      </c>
      <c r="BV19" s="58"/>
      <c r="BW19" s="132">
        <f t="shared" ref="BW19" si="223">BV8+(BW8*2350)</f>
        <v>0</v>
      </c>
      <c r="BX19" s="58"/>
      <c r="BY19" s="132">
        <f t="shared" ref="BY19" si="224">BX8+(BY8*2350)</f>
        <v>0</v>
      </c>
      <c r="BZ19" s="58"/>
      <c r="CA19" s="132">
        <f t="shared" ref="CA19" si="225">BZ8+(CA8*2350)</f>
        <v>0</v>
      </c>
      <c r="CB19" s="58"/>
      <c r="CC19" s="132">
        <f t="shared" ref="CC19" si="226">CB8+(CC8*2350)</f>
        <v>0</v>
      </c>
      <c r="CD19" s="58"/>
      <c r="CE19" s="132">
        <f t="shared" ref="CE19" si="227">CD8+(CE8*2350)</f>
        <v>0</v>
      </c>
      <c r="CF19" s="58"/>
      <c r="CG19" s="132">
        <f t="shared" si="119"/>
        <v>0</v>
      </c>
    </row>
    <row r="20" spans="1:85" x14ac:dyDescent="0.35">
      <c r="A20" s="112" t="s">
        <v>396</v>
      </c>
      <c r="C20" s="132">
        <f t="shared" ca="1" si="78"/>
        <v>947050</v>
      </c>
      <c r="E20" s="132">
        <f t="shared" si="79"/>
        <v>1892250</v>
      </c>
      <c r="G20" s="132">
        <f t="shared" si="80"/>
        <v>824850</v>
      </c>
      <c r="I20" s="132">
        <f t="shared" si="81"/>
        <v>0</v>
      </c>
      <c r="J20" s="58"/>
      <c r="K20" s="132">
        <f t="shared" si="82"/>
        <v>2873150</v>
      </c>
      <c r="L20" s="58"/>
      <c r="M20" s="132">
        <f t="shared" ref="M20" si="228">L9+(M9*2350)</f>
        <v>1220000</v>
      </c>
      <c r="N20" s="58"/>
      <c r="O20" s="132">
        <f t="shared" ref="O20" si="229">N9+(O9*2350)</f>
        <v>0</v>
      </c>
      <c r="P20" s="58"/>
      <c r="Q20" s="132">
        <f t="shared" ref="Q20" si="230">P9+(Q9*2350)</f>
        <v>0</v>
      </c>
      <c r="R20" s="58"/>
      <c r="S20" s="132">
        <f t="shared" ref="S20" si="231">R9+(S9*2350)</f>
        <v>0</v>
      </c>
      <c r="T20" s="58"/>
      <c r="U20" s="132">
        <f t="shared" ref="U20" si="232">T9+(U9*2350)</f>
        <v>0</v>
      </c>
      <c r="V20" s="58"/>
      <c r="W20" s="132">
        <f t="shared" ref="W20" si="233">V9+(W9*2350)</f>
        <v>0</v>
      </c>
      <c r="X20" s="58"/>
      <c r="Y20" s="132">
        <f t="shared" ref="Y20" si="234">X9+(Y9*2350)</f>
        <v>0</v>
      </c>
      <c r="Z20" s="58"/>
      <c r="AA20" s="132">
        <f t="shared" ref="AA20" si="235">Z9+(AA9*2350)</f>
        <v>0</v>
      </c>
      <c r="AB20" s="58"/>
      <c r="AC20" s="132">
        <f t="shared" ref="AC20" si="236">AB9+(AC9*2350)</f>
        <v>0</v>
      </c>
      <c r="AD20" s="58"/>
      <c r="AE20" s="132">
        <f t="shared" ref="AE20" si="237">AD9+(AE9*2350)</f>
        <v>0</v>
      </c>
      <c r="AF20" s="58"/>
      <c r="AG20" s="132">
        <f t="shared" ref="AG20" si="238">AF9+(AG9*2350)</f>
        <v>0</v>
      </c>
      <c r="AH20" s="58"/>
      <c r="AI20" s="132">
        <f t="shared" ref="AI20" si="239">AH9+(AI9*2350)</f>
        <v>0</v>
      </c>
      <c r="AJ20" s="58"/>
      <c r="AK20" s="132">
        <f t="shared" ref="AK20" si="240">AJ9+(AK9*2350)</f>
        <v>0</v>
      </c>
      <c r="AL20" s="58"/>
      <c r="AM20" s="132">
        <f t="shared" ref="AM20" si="241">AL9+(AM9*2350)</f>
        <v>0</v>
      </c>
      <c r="AN20" s="58"/>
      <c r="AO20" s="132">
        <f t="shared" ref="AO20" si="242">AN9+(AO9*2350)</f>
        <v>0</v>
      </c>
      <c r="AP20" s="58"/>
      <c r="AQ20" s="132">
        <f t="shared" ref="AQ20" si="243">AP9+(AQ9*2350)</f>
        <v>0</v>
      </c>
      <c r="AR20" s="58"/>
      <c r="AS20" s="132">
        <f t="shared" ref="AS20" si="244">AR9+(AS9*2350)</f>
        <v>0</v>
      </c>
      <c r="AT20" s="58"/>
      <c r="AU20" s="132">
        <f t="shared" ref="AU20" si="245">AT9+(AU9*2350)</f>
        <v>0</v>
      </c>
      <c r="AV20" s="58"/>
      <c r="AW20" s="132">
        <f t="shared" ref="AW20" si="246">AV9+(AW9*2350)</f>
        <v>0</v>
      </c>
      <c r="AX20" s="58"/>
      <c r="AY20" s="132">
        <f t="shared" ref="AY20" si="247">AX9+(AY9*2350)</f>
        <v>0</v>
      </c>
      <c r="AZ20" s="58"/>
      <c r="BA20" s="132">
        <f t="shared" ref="BA20" si="248">AZ9+(BA9*2350)</f>
        <v>0</v>
      </c>
      <c r="BB20" s="58"/>
      <c r="BC20" s="132">
        <f t="shared" ref="BC20" si="249">BB9+(BC9*2350)</f>
        <v>0</v>
      </c>
      <c r="BD20" s="58"/>
      <c r="BE20" s="132">
        <f t="shared" ref="BE20" si="250">BD9+(BE9*2350)</f>
        <v>0</v>
      </c>
      <c r="BF20" s="58"/>
      <c r="BG20" s="132">
        <f t="shared" ref="BG20" si="251">BF9+(BG9*2350)</f>
        <v>0</v>
      </c>
      <c r="BH20" s="58"/>
      <c r="BI20" s="132">
        <f t="shared" ref="BI20" si="252">BH9+(BI9*2350)</f>
        <v>0</v>
      </c>
      <c r="BJ20" s="58"/>
      <c r="BK20" s="132">
        <f t="shared" ref="BK20" si="253">BJ9+(BK9*2350)</f>
        <v>0</v>
      </c>
      <c r="BL20" s="58"/>
      <c r="BM20" s="132">
        <f t="shared" ref="BM20" si="254">BL9+(BM9*2350)</f>
        <v>0</v>
      </c>
      <c r="BN20" s="58"/>
      <c r="BO20" s="132">
        <f t="shared" ref="BO20" si="255">BN9+(BO9*2350)</f>
        <v>0</v>
      </c>
      <c r="BP20" s="58"/>
      <c r="BQ20" s="132">
        <f t="shared" ref="BQ20" si="256">BP9+(BQ9*2350)</f>
        <v>0</v>
      </c>
      <c r="BR20" s="58"/>
      <c r="BS20" s="132">
        <f t="shared" ref="BS20" si="257">BR9+(BS9*2350)</f>
        <v>0</v>
      </c>
      <c r="BT20" s="58"/>
      <c r="BU20" s="132">
        <f t="shared" ref="BU20" si="258">BT9+(BU9*2350)</f>
        <v>0</v>
      </c>
      <c r="BV20" s="58"/>
      <c r="BW20" s="132">
        <f t="shared" ref="BW20" si="259">BV9+(BW9*2350)</f>
        <v>0</v>
      </c>
      <c r="BX20" s="58"/>
      <c r="BY20" s="132">
        <f t="shared" ref="BY20" si="260">BX9+(BY9*2350)</f>
        <v>0</v>
      </c>
      <c r="BZ20" s="58"/>
      <c r="CA20" s="132">
        <f t="shared" ref="CA20" si="261">BZ9+(CA9*2350)</f>
        <v>0</v>
      </c>
      <c r="CB20" s="58"/>
      <c r="CC20" s="132">
        <f t="shared" ref="CC20" si="262">CB9+(CC9*2350)</f>
        <v>0</v>
      </c>
      <c r="CD20" s="58"/>
      <c r="CE20" s="132">
        <f t="shared" ref="CE20" si="263">CD9+(CE9*2350)</f>
        <v>0</v>
      </c>
      <c r="CF20" s="58"/>
      <c r="CG20" s="132">
        <f t="shared" si="119"/>
        <v>0</v>
      </c>
    </row>
    <row r="21" spans="1:85" x14ac:dyDescent="0.35">
      <c r="A21" s="112" t="s">
        <v>8</v>
      </c>
      <c r="C21" s="132">
        <f ca="1">B9+(C9*2350)</f>
        <v>1677950</v>
      </c>
      <c r="E21" s="132">
        <f t="shared" si="79"/>
        <v>0</v>
      </c>
      <c r="G21" s="132">
        <f t="shared" si="80"/>
        <v>0</v>
      </c>
      <c r="I21" s="132">
        <f t="shared" si="81"/>
        <v>0</v>
      </c>
      <c r="J21" s="58"/>
      <c r="K21" s="132">
        <f t="shared" si="82"/>
        <v>0</v>
      </c>
      <c r="L21" s="58"/>
      <c r="M21" s="132">
        <f t="shared" ref="M21" si="264">L10+(M10*2350)</f>
        <v>0</v>
      </c>
      <c r="N21" s="58"/>
      <c r="O21" s="132">
        <f t="shared" ref="O21" si="265">N10+(O10*2350)</f>
        <v>0</v>
      </c>
      <c r="P21" s="58"/>
      <c r="Q21" s="132">
        <f t="shared" ref="Q21" si="266">P10+(Q10*2350)</f>
        <v>0</v>
      </c>
      <c r="R21" s="58"/>
      <c r="S21" s="132">
        <f t="shared" ref="S21" si="267">R10+(S10*2350)</f>
        <v>0</v>
      </c>
      <c r="T21" s="58"/>
      <c r="U21" s="132">
        <f t="shared" ref="U21" si="268">T10+(U10*2350)</f>
        <v>0</v>
      </c>
      <c r="V21" s="58"/>
      <c r="W21" s="132">
        <f t="shared" ref="W21" si="269">V10+(W10*2350)</f>
        <v>0</v>
      </c>
      <c r="X21" s="58"/>
      <c r="Y21" s="132">
        <f t="shared" ref="Y21" si="270">X10+(Y10*2350)</f>
        <v>0</v>
      </c>
      <c r="Z21" s="58"/>
      <c r="AA21" s="132">
        <f t="shared" ref="AA21" si="271">Z10+(AA10*2350)</f>
        <v>0</v>
      </c>
      <c r="AB21" s="58"/>
      <c r="AC21" s="132">
        <f t="shared" ref="AC21" si="272">AB10+(AC10*2350)</f>
        <v>0</v>
      </c>
      <c r="AD21" s="58"/>
      <c r="AE21" s="132">
        <f t="shared" ref="AE21" si="273">AD10+(AE10*2350)</f>
        <v>0</v>
      </c>
      <c r="AF21" s="58"/>
      <c r="AG21" s="132">
        <f t="shared" ref="AG21" si="274">AF10+(AG10*2350)</f>
        <v>0</v>
      </c>
      <c r="AH21" s="58"/>
      <c r="AI21" s="132">
        <f t="shared" ref="AI21" si="275">AH10+(AI10*2350)</f>
        <v>0</v>
      </c>
      <c r="AJ21" s="58"/>
      <c r="AK21" s="132">
        <f t="shared" ref="AK21" si="276">AJ10+(AK10*2350)</f>
        <v>0</v>
      </c>
      <c r="AL21" s="58"/>
      <c r="AM21" s="132">
        <f t="shared" ref="AM21" si="277">AL10+(AM10*2350)</f>
        <v>0</v>
      </c>
      <c r="AN21" s="58"/>
      <c r="AO21" s="132">
        <f t="shared" ref="AO21" si="278">AN10+(AO10*2350)</f>
        <v>0</v>
      </c>
      <c r="AP21" s="58"/>
      <c r="AQ21" s="132">
        <f t="shared" ref="AQ21" si="279">AP10+(AQ10*2350)</f>
        <v>0</v>
      </c>
      <c r="AR21" s="58"/>
      <c r="AS21" s="132">
        <f t="shared" ref="AS21" si="280">AR10+(AS10*2350)</f>
        <v>0</v>
      </c>
      <c r="AT21" s="58"/>
      <c r="AU21" s="132">
        <f t="shared" ref="AU21" si="281">AT10+(AU10*2350)</f>
        <v>0</v>
      </c>
      <c r="AV21" s="58"/>
      <c r="AW21" s="132">
        <f t="shared" ref="AW21" si="282">AV10+(AW10*2350)</f>
        <v>0</v>
      </c>
      <c r="AX21" s="58"/>
      <c r="AY21" s="132">
        <f t="shared" ref="AY21" si="283">AX10+(AY10*2350)</f>
        <v>0</v>
      </c>
      <c r="AZ21" s="58"/>
      <c r="BA21" s="132">
        <f t="shared" ref="BA21" si="284">AZ10+(BA10*2350)</f>
        <v>0</v>
      </c>
      <c r="BB21" s="58"/>
      <c r="BC21" s="132">
        <f t="shared" ref="BC21" si="285">BB10+(BC10*2350)</f>
        <v>0</v>
      </c>
      <c r="BD21" s="58"/>
      <c r="BE21" s="132">
        <f t="shared" ref="BE21" si="286">BD10+(BE10*2350)</f>
        <v>0</v>
      </c>
      <c r="BF21" s="58"/>
      <c r="BG21" s="132">
        <f t="shared" ref="BG21" si="287">BF10+(BG10*2350)</f>
        <v>0</v>
      </c>
      <c r="BH21" s="58"/>
      <c r="BI21" s="132">
        <f t="shared" ref="BI21" si="288">BH10+(BI10*2350)</f>
        <v>0</v>
      </c>
      <c r="BJ21" s="58"/>
      <c r="BK21" s="132">
        <f t="shared" ref="BK21" si="289">BJ10+(BK10*2350)</f>
        <v>0</v>
      </c>
      <c r="BL21" s="58"/>
      <c r="BM21" s="132">
        <f t="shared" ref="BM21" si="290">BL10+(BM10*2350)</f>
        <v>0</v>
      </c>
      <c r="BN21" s="58"/>
      <c r="BO21" s="132">
        <f t="shared" ref="BO21" si="291">BN10+(BO10*2350)</f>
        <v>0</v>
      </c>
      <c r="BP21" s="58"/>
      <c r="BQ21" s="132">
        <f t="shared" ref="BQ21" si="292">BP10+(BQ10*2350)</f>
        <v>0</v>
      </c>
      <c r="BR21" s="58"/>
      <c r="BS21" s="132">
        <f t="shared" ref="BS21" si="293">BR10+(BS10*2350)</f>
        <v>0</v>
      </c>
      <c r="BT21" s="58"/>
      <c r="BU21" s="132">
        <f t="shared" ref="BU21" si="294">BT10+(BU10*2350)</f>
        <v>0</v>
      </c>
      <c r="BV21" s="58"/>
      <c r="BW21" s="132">
        <f t="shared" ref="BW21" si="295">BV10+(BW10*2350)</f>
        <v>0</v>
      </c>
      <c r="BX21" s="58"/>
      <c r="BY21" s="132">
        <f t="shared" ref="BY21" si="296">BX10+(BY10*2350)</f>
        <v>0</v>
      </c>
      <c r="BZ21" s="58"/>
      <c r="CA21" s="132">
        <f t="shared" ref="CA21" si="297">BZ10+(CA10*2350)</f>
        <v>0</v>
      </c>
      <c r="CB21" s="58"/>
      <c r="CC21" s="132">
        <f t="shared" ref="CC21" si="298">CB10+(CC10*2350)</f>
        <v>0</v>
      </c>
      <c r="CD21" s="58"/>
      <c r="CE21" s="132">
        <f t="shared" ref="CE21" si="299">CD10+(CE10*2350)</f>
        <v>0</v>
      </c>
      <c r="CF21" s="58"/>
      <c r="CG21" s="132">
        <f>CF10+(CG10*2350)</f>
        <v>0</v>
      </c>
    </row>
    <row r="22" spans="1:85" ht="15" thickBot="1" x14ac:dyDescent="0.4">
      <c r="A22" s="112" t="s">
        <v>9</v>
      </c>
      <c r="C22" s="133">
        <f t="shared" ca="1" si="78"/>
        <v>0</v>
      </c>
      <c r="E22" s="133">
        <f t="shared" si="38"/>
        <v>0</v>
      </c>
      <c r="G22" s="133">
        <f t="shared" ref="G22" si="300">F10+(G10*2350)</f>
        <v>0</v>
      </c>
      <c r="I22" s="133">
        <f t="shared" ref="I22" si="301">H10+(I10*2350)</f>
        <v>0</v>
      </c>
      <c r="J22" s="58"/>
      <c r="K22" s="133">
        <f t="shared" ref="K22" si="302">J10+(K10*2350)</f>
        <v>0</v>
      </c>
      <c r="L22" s="58"/>
      <c r="M22" s="133">
        <f t="shared" ref="M22" si="303">L10+(M10*2350)</f>
        <v>0</v>
      </c>
      <c r="N22" s="58"/>
      <c r="O22" s="133">
        <f t="shared" ref="O22" si="304">N10+(O10*2350)</f>
        <v>0</v>
      </c>
      <c r="P22" s="58"/>
      <c r="Q22" s="133">
        <f t="shared" ref="Q22" si="305">P10+(Q10*2350)</f>
        <v>0</v>
      </c>
      <c r="R22" s="58"/>
      <c r="S22" s="133">
        <f t="shared" ref="S22" si="306">R10+(S10*2350)</f>
        <v>0</v>
      </c>
      <c r="T22" s="58"/>
      <c r="U22" s="133">
        <f t="shared" ref="U22" si="307">T10+(U10*2350)</f>
        <v>0</v>
      </c>
      <c r="V22" s="58"/>
      <c r="W22" s="133">
        <f t="shared" ref="W22" si="308">V10+(W10*2350)</f>
        <v>0</v>
      </c>
      <c r="X22" s="58"/>
      <c r="Y22" s="133">
        <f t="shared" ref="Y22" si="309">X10+(Y10*2350)</f>
        <v>0</v>
      </c>
      <c r="Z22" s="58"/>
      <c r="AA22" s="133">
        <f t="shared" ref="AA22" si="310">Z10+(AA10*2350)</f>
        <v>0</v>
      </c>
      <c r="AB22" s="58"/>
      <c r="AC22" s="133">
        <f t="shared" ref="AC22" si="311">AB10+(AC10*2350)</f>
        <v>0</v>
      </c>
      <c r="AD22" s="58"/>
      <c r="AE22" s="133">
        <f t="shared" ref="AE22" si="312">AD10+(AE10*2350)</f>
        <v>0</v>
      </c>
      <c r="AF22" s="58"/>
      <c r="AG22" s="133">
        <f t="shared" ref="AG22" si="313">AF10+(AG10*2350)</f>
        <v>0</v>
      </c>
      <c r="AH22" s="58"/>
      <c r="AI22" s="133">
        <f t="shared" ref="AI22" si="314">AH10+(AI10*2350)</f>
        <v>0</v>
      </c>
      <c r="AJ22" s="58"/>
      <c r="AK22" s="133">
        <f t="shared" ref="AK22" si="315">AJ10+(AK10*2350)</f>
        <v>0</v>
      </c>
      <c r="AL22" s="58"/>
      <c r="AM22" s="133">
        <f t="shared" ref="AM22" si="316">AL10+(AM10*2350)</f>
        <v>0</v>
      </c>
      <c r="AN22" s="58"/>
      <c r="AO22" s="133">
        <f t="shared" ref="AO22" si="317">AN10+(AO10*2350)</f>
        <v>0</v>
      </c>
      <c r="AP22" s="58"/>
      <c r="AQ22" s="133">
        <f t="shared" ref="AQ22" si="318">AP10+(AQ10*2350)</f>
        <v>0</v>
      </c>
      <c r="AR22" s="58"/>
      <c r="AS22" s="133">
        <f t="shared" ref="AS22" si="319">AR10+(AS10*2350)</f>
        <v>0</v>
      </c>
      <c r="AT22" s="58"/>
      <c r="AU22" s="133">
        <f t="shared" ref="AU22" si="320">AT10+(AU10*2350)</f>
        <v>0</v>
      </c>
      <c r="AV22" s="58"/>
      <c r="AW22" s="133">
        <f t="shared" ref="AW22" si="321">AV10+(AW10*2350)</f>
        <v>0</v>
      </c>
      <c r="AX22" s="58"/>
      <c r="AY22" s="133">
        <f t="shared" ref="AY22" si="322">AX10+(AY10*2350)</f>
        <v>0</v>
      </c>
      <c r="AZ22" s="58"/>
      <c r="BA22" s="133">
        <f t="shared" ref="BA22" si="323">AZ10+(BA10*2350)</f>
        <v>0</v>
      </c>
      <c r="BB22" s="58"/>
      <c r="BC22" s="133">
        <f t="shared" ref="BC22" si="324">BB10+(BC10*2350)</f>
        <v>0</v>
      </c>
      <c r="BD22" s="58"/>
      <c r="BE22" s="133">
        <f t="shared" ref="BE22" si="325">BD10+(BE10*2350)</f>
        <v>0</v>
      </c>
      <c r="BF22" s="58"/>
      <c r="BG22" s="133">
        <f t="shared" ref="BG22" si="326">BF10+(BG10*2350)</f>
        <v>0</v>
      </c>
      <c r="BH22" s="58"/>
      <c r="BI22" s="133">
        <f t="shared" ref="BI22" si="327">BH10+(BI10*2350)</f>
        <v>0</v>
      </c>
      <c r="BJ22" s="58"/>
      <c r="BK22" s="133">
        <f t="shared" ref="BK22" si="328">BJ10+(BK10*2350)</f>
        <v>0</v>
      </c>
      <c r="BL22" s="58"/>
      <c r="BM22" s="133">
        <f t="shared" ref="BM22" si="329">BL10+(BM10*2350)</f>
        <v>0</v>
      </c>
      <c r="BN22" s="58"/>
      <c r="BO22" s="133">
        <f t="shared" ref="BO22" si="330">BN10+(BO10*2350)</f>
        <v>0</v>
      </c>
      <c r="BP22" s="58"/>
      <c r="BQ22" s="133">
        <f t="shared" ref="BQ22" si="331">BP10+(BQ10*2350)</f>
        <v>0</v>
      </c>
      <c r="BR22" s="58"/>
      <c r="BS22" s="133">
        <f t="shared" ref="BS22" si="332">BR10+(BS10*2350)</f>
        <v>0</v>
      </c>
      <c r="BT22" s="58"/>
      <c r="BU22" s="133">
        <f t="shared" ref="BU22" si="333">BT10+(BU10*2350)</f>
        <v>0</v>
      </c>
      <c r="BV22" s="58"/>
      <c r="BW22" s="133">
        <f t="shared" ref="BW22" si="334">BV10+(BW10*2350)</f>
        <v>0</v>
      </c>
      <c r="BX22" s="58"/>
      <c r="BY22" s="133">
        <f t="shared" ref="BY22" si="335">BX10+(BY10*2350)</f>
        <v>0</v>
      </c>
      <c r="BZ22" s="58"/>
      <c r="CA22" s="133">
        <f t="shared" ref="CA22" si="336">BZ10+(CA10*2350)</f>
        <v>0</v>
      </c>
      <c r="CB22" s="58"/>
      <c r="CC22" s="133">
        <f t="shared" ref="CC22" si="337">CB10+(CC10*2350)</f>
        <v>0</v>
      </c>
      <c r="CD22" s="58"/>
      <c r="CE22" s="133">
        <f t="shared" ref="CE22" si="338">CD10+(CE10*2350)</f>
        <v>0</v>
      </c>
      <c r="CF22" s="58"/>
      <c r="CG22" s="133">
        <f t="shared" ref="CG22" si="339">CF10+(CG10*2350)</f>
        <v>0</v>
      </c>
    </row>
    <row r="23" spans="1:85" ht="15" thickTop="1" x14ac:dyDescent="0.35"/>
  </sheetData>
  <sheetProtection sheet="1" objects="1" scenarios="1" sort="0" autoFilter="0"/>
  <mergeCells count="84">
    <mergeCell ref="J12:K12"/>
    <mergeCell ref="L12:M12"/>
    <mergeCell ref="N12:O12"/>
    <mergeCell ref="B1:C1"/>
    <mergeCell ref="D1:E1"/>
    <mergeCell ref="F1:G1"/>
    <mergeCell ref="H1:I1"/>
    <mergeCell ref="B12:C12"/>
    <mergeCell ref="D12:E12"/>
    <mergeCell ref="F12:G12"/>
    <mergeCell ref="H12:I12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CB1:CC1"/>
    <mergeCell ref="CD1:CE1"/>
    <mergeCell ref="CF1:CG1"/>
    <mergeCell ref="BR1:BS1"/>
    <mergeCell ref="BT1:BU1"/>
    <mergeCell ref="BV1:BW1"/>
    <mergeCell ref="BX1:BY1"/>
    <mergeCell ref="BZ1:CA1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BD12:BE12"/>
    <mergeCell ref="BF12:BG12"/>
    <mergeCell ref="BH12:BI12"/>
    <mergeCell ref="BJ12:BK12"/>
    <mergeCell ref="BL12:BM12"/>
    <mergeCell ref="BN12:BO12"/>
    <mergeCell ref="BP12:BQ12"/>
    <mergeCell ref="BR12:BS12"/>
    <mergeCell ref="BT12:BU12"/>
    <mergeCell ref="BV12:BW12"/>
    <mergeCell ref="BX12:BY12"/>
    <mergeCell ref="BZ12:CA12"/>
    <mergeCell ref="CB12:CC12"/>
    <mergeCell ref="CD12:CE12"/>
    <mergeCell ref="CF12:CG12"/>
  </mergeCells>
  <phoneticPr fontId="1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Feuil2</vt:lpstr>
      <vt:lpstr>JOURNAL DES OPERATIONS</vt:lpstr>
      <vt:lpstr>Feuil1</vt:lpstr>
      <vt:lpstr>SYTHESE JOURNALIER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Grace LUNGUNDU</dc:creator>
  <cp:lastModifiedBy>Jean Grace LUNGUNDU</cp:lastModifiedBy>
  <dcterms:created xsi:type="dcterms:W3CDTF">2026-05-25T14:44:48Z</dcterms:created>
  <dcterms:modified xsi:type="dcterms:W3CDTF">2026-08-03T08:53:14Z</dcterms:modified>
</cp:coreProperties>
</file>