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anl\OneDrive\Documents\DOCS JPS\COMPTABILITE JPS\facturation\"/>
    </mc:Choice>
  </mc:AlternateContent>
  <xr:revisionPtr revIDLastSave="0" documentId="13_ncr:1_{589BE9D7-E611-43DC-A23B-A3ED83E0F11B}" xr6:coauthVersionLast="47" xr6:coauthVersionMax="47" xr10:uidLastSave="{00000000-0000-0000-0000-000000000000}"/>
  <bookViews>
    <workbookView xWindow="-110" yWindow="-110" windowWidth="19420" windowHeight="10300" xr2:uid="{EC516D2E-D94E-4D04-BA18-A9C3BEDD23A4}"/>
  </bookViews>
  <sheets>
    <sheet name="JP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41" i="1" a="1"/>
  <c r="I24" i="1" a="1"/>
  <c r="I48" i="1" a="1"/>
  <c r="I51" i="1" a="1"/>
  <c r="I15" i="1" a="1"/>
  <c r="I9" i="1" a="1"/>
  <c r="I16" i="1" a="1"/>
  <c r="I44" i="1" a="1"/>
  <c r="I47" i="1" a="1"/>
  <c r="I7" i="1" a="1"/>
  <c r="I14" i="1" a="1"/>
  <c r="I40" i="1" a="1"/>
  <c r="I43" i="1" a="1"/>
  <c r="I46" i="1" a="1"/>
  <c r="I50" i="1" a="1"/>
  <c r="I38" i="1" a="1"/>
  <c r="I8" i="1" a="1"/>
  <c r="I34" i="1" a="1"/>
  <c r="I25" i="1" a="1"/>
  <c r="I31" i="1" a="1"/>
  <c r="I13" i="1" a="1"/>
  <c r="I37" i="1" a="1"/>
  <c r="I36" i="1" a="1"/>
  <c r="I39" i="1" a="1"/>
  <c r="I42" i="1" a="1"/>
  <c r="I27" i="1" a="1"/>
  <c r="I5" i="1" a="1"/>
  <c r="I30" i="1" a="1"/>
  <c r="I33" i="1" a="1"/>
  <c r="I22" i="1" a="1"/>
  <c r="I35" i="1" a="1"/>
  <c r="I28" i="1" a="1"/>
  <c r="I19" i="1" a="1"/>
  <c r="I2" i="1" a="1"/>
  <c r="I29" i="1" a="1"/>
  <c r="I32" i="1" a="1"/>
  <c r="I20" i="1" a="1"/>
  <c r="I23" i="1" a="1"/>
  <c r="I53" i="1" a="1"/>
  <c r="I18" i="1" a="1"/>
  <c r="I17" i="1" a="1"/>
  <c r="I49" i="1" a="1"/>
  <c r="I11" i="1" a="1"/>
  <c r="I6" i="1" a="1"/>
  <c r="I10" i="1" a="1"/>
  <c r="I26" i="1" a="1"/>
  <c r="I4" i="1" a="1"/>
  <c r="I12" i="1" a="1"/>
  <c r="I3" i="1" a="1"/>
  <c r="I52" i="1" a="1"/>
  <c r="I21" i="1" a="1"/>
  <c r="I45" i="1" a="1"/>
  <c r="I12" i="1" l="1"/>
  <c r="I20" i="1"/>
  <c r="I28" i="1"/>
  <c r="I42" i="1"/>
  <c r="I50" i="1"/>
  <c r="I14" i="1"/>
  <c r="I9" i="1"/>
  <c r="I17" i="1"/>
  <c r="I4" i="1"/>
  <c r="I32" i="1"/>
  <c r="I35" i="1"/>
  <c r="I39" i="1"/>
  <c r="I46" i="1"/>
  <c r="I7" i="1"/>
  <c r="I15" i="1"/>
  <c r="I23" i="1"/>
  <c r="I26" i="1"/>
  <c r="I29" i="1"/>
  <c r="I33" i="1"/>
  <c r="I36" i="1"/>
  <c r="I43" i="1"/>
  <c r="I47" i="1"/>
  <c r="I51" i="1"/>
  <c r="I21" i="1"/>
  <c r="I10" i="1"/>
  <c r="I18" i="1"/>
  <c r="I30" i="1"/>
  <c r="I37" i="1"/>
  <c r="I40" i="1"/>
  <c r="I44" i="1"/>
  <c r="I48" i="1"/>
  <c r="I52" i="1"/>
  <c r="I6" i="1"/>
  <c r="I2" i="1"/>
  <c r="I5" i="1"/>
  <c r="I13" i="1"/>
  <c r="I8" i="1"/>
  <c r="I16" i="1"/>
  <c r="I24" i="1"/>
  <c r="I3" i="1"/>
  <c r="I11" i="1"/>
  <c r="I19" i="1"/>
  <c r="I27" i="1"/>
  <c r="I31" i="1"/>
  <c r="I34" i="1"/>
  <c r="I38" i="1"/>
  <c r="I41" i="1"/>
  <c r="I45" i="1"/>
  <c r="I49" i="1"/>
  <c r="I53" i="1"/>
  <c r="I22" i="1"/>
  <c r="I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<sst xmlns="http://schemas.openxmlformats.org/spreadsheetml/2006/main" count="179" uniqueCount="76">
  <si>
    <t>Date facture</t>
  </si>
  <si>
    <t>Date envoie</t>
  </si>
  <si>
    <t>Nature de l'opération</t>
  </si>
  <si>
    <t xml:space="preserve">Numéro Facture </t>
  </si>
  <si>
    <t xml:space="preserve">Montant </t>
  </si>
  <si>
    <t>Devise</t>
  </si>
  <si>
    <t>Numéro BDC</t>
  </si>
  <si>
    <t>obs</t>
  </si>
  <si>
    <t>REMBOURSEMENT 50% TRANS. FACT JPS N°034</t>
  </si>
  <si>
    <t>CDF</t>
  </si>
  <si>
    <t>Facture à comptabiliser</t>
  </si>
  <si>
    <t>REMBOURSEMENT FRAIS JPS FACT N°  024</t>
  </si>
  <si>
    <t>FRAIS ADMINISTRATIF DGRPI BUNIA</t>
  </si>
  <si>
    <t>FC/CD02016040/1­19/2026</t>
  </si>
  <si>
    <t>USD</t>
  </si>
  <si>
    <t>EXPEDITION EFFETS DR MAKTHAR GOMA-LUBUM</t>
  </si>
  <si>
    <t>FC/CD02016040/1­8/2026</t>
  </si>
  <si>
    <t>CHALLENGE REABO 1ERE EC SEPTEMBRE 2023</t>
  </si>
  <si>
    <t>LOYER ENTREPOT BUNIA</t>
  </si>
  <si>
    <t>Paiement salaire VAD Mai 2026</t>
  </si>
  <si>
    <t>Paiement salaire VAD Avril 2026</t>
  </si>
  <si>
    <t>Paiement salire VAD février &amp; Mars 2026</t>
  </si>
  <si>
    <t>REMBOURSEMENT 50% FRAIS TRANSPORT JPS</t>
  </si>
  <si>
    <t>TA 1000 PA BUN-KIN deuxieme  lot</t>
  </si>
  <si>
    <t>FC/CD02016040/1­70/2026</t>
  </si>
  <si>
    <t>TA 1000 PA BUN-KIN PREMIER LOT</t>
  </si>
  <si>
    <t>FC/CD02016040/1­72/2026</t>
  </si>
  <si>
    <t>TA 1000 PA BUN-KIN troisièm lot</t>
  </si>
  <si>
    <t>TA 3000  TERMINAUX BUN-KIN</t>
  </si>
  <si>
    <t>FC/CD02016040/1-32/2026</t>
  </si>
  <si>
    <t>TA 2500 TERMINAUX 1LOT BUN-LUB</t>
  </si>
  <si>
    <t>FC/CD02016040/1-29/2026</t>
  </si>
  <si>
    <t>NETTOYAGE ,RANGEMENT ET MANUTENTION</t>
  </si>
  <si>
    <t>PRESTATION ANTENNISTE 05 2026</t>
  </si>
  <si>
    <t>PRESTATION ANTENNISTE 06 2026</t>
  </si>
  <si>
    <t>PRESTATION ANTENNISTE 08 2025</t>
  </si>
  <si>
    <t>PRESTATION ANTENNISTE 09 2025</t>
  </si>
  <si>
    <t>EFFET PERSONNEL DR KINSHASA KISANGANI</t>
  </si>
  <si>
    <t>FC/CD02016040/1­78/2026</t>
  </si>
  <si>
    <t>NON PAYE</t>
  </si>
  <si>
    <t>HEBERGEMENT COPS KABUYA BUNIA (Pour Deux mois)</t>
  </si>
  <si>
    <t>F00025</t>
  </si>
  <si>
    <t>-</t>
  </si>
  <si>
    <t>ATTANTE BDC</t>
  </si>
  <si>
    <t>TRANSPORT BUNIA- KISANGANI de 2000 Accessoires et paraboles (1 accessoir pèse 4,5 Kgs) soir 9000 Kgs</t>
  </si>
  <si>
    <t>F00028</t>
  </si>
  <si>
    <t>LOCATION ENTREPOT CANAL + OCTOBRE - DECEMBRE 2025</t>
  </si>
  <si>
    <t>F00029</t>
  </si>
  <si>
    <t>TRANSPORT 2000 TERMINAUX KIN - BUNIA DE 1000Kgs &amp; TRANSPORT 1000 TERMINAUX  KIN - KISANGANI DE 500Kgs</t>
  </si>
  <si>
    <t>FC/CD02016040/1-83/2026</t>
  </si>
  <si>
    <t>FACTURE LOYER ENTREPOT BUNIA T3 2026</t>
  </si>
  <si>
    <t>FC/CD02016040/1­82/2026</t>
  </si>
  <si>
    <t xml:space="preserve">FACTURE REMBOURSEMENT TRANSPORT MAT 3 PARK GE </t>
  </si>
  <si>
    <t>FC/CD02016040/1-68/2026</t>
  </si>
  <si>
    <t>FC/CD02016040/1-66/2026</t>
  </si>
  <si>
    <t xml:space="preserve">FACTURE REMBOURSEMENT TRANSPORT </t>
  </si>
  <si>
    <t>FC/CD02016040/1-53/2026</t>
  </si>
  <si>
    <t>GRANDE MESSE BUNIA VISITE NOUVEAU DR</t>
  </si>
  <si>
    <t>FC/CD02016040/1-49/2026</t>
  </si>
  <si>
    <t xml:space="preserve">Facture_NORMALISEE PRESTATION ANTENNISTE MAI JUIN 2026 BDC </t>
  </si>
  <si>
    <t>FC/CD02016040/188/2026</t>
  </si>
  <si>
    <t xml:space="preserve">Facture_NORMALISEE PRESTATION ANTENNISTE AVRIL MAI 2026 BDC </t>
  </si>
  <si>
    <t>FC/CD02016040/190/2026</t>
  </si>
  <si>
    <t>FACTURE PAIEMENT VAD FEVRIER MARS 2026 BDC</t>
  </si>
  <si>
    <t>FC/CD02016040/181/2026</t>
  </si>
  <si>
    <t>FACTURE PAIEMENT VAD AVRIL 2026 BDC</t>
  </si>
  <si>
    <t>FC/CD02016040/180/2026</t>
  </si>
  <si>
    <t>FACTURE PAIEMENT VAD MAI 2026 BDC</t>
  </si>
  <si>
    <t>FC/CD02016040/179/2026</t>
  </si>
  <si>
    <t>FACTURE TRANSPORT EFFET PERSONNEL ABRAHAM BDC 4100051808</t>
  </si>
  <si>
    <t>FC/CD02016040/169/2026</t>
  </si>
  <si>
    <t>FACTURE HEBERGEMENT ERIC KABUYA NUM 04/2026 BDC 4100046275</t>
  </si>
  <si>
    <t>FC/CD02016040/140/2026</t>
  </si>
  <si>
    <t>FACTURE TRANSPORT EFFET PERSONNEL DR BDC 4100058631</t>
  </si>
  <si>
    <t>FACTURE REMBOURSEMENT TRANSPORT 2 MAT PAR GE BDC 4100051662</t>
  </si>
  <si>
    <t>FC/CD02016040/167/2026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</si>
</sst>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1"/>
      <name val="timesnewroman"/>
    </font>
    <font>
      <sz val="12"/>
      <color indexed="8"/>
      <name val="Calibri"/>
      <family val="2"/>
      <scheme val="minor"/>
    </font>
    <font>
      <sz val="12"/>
      <color rgb="FF333333"/>
      <name val="Open Sans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1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4" fillId="4" borderId="1" xfId="0" applyFont="1" applyFill="1" applyBorder="1" applyAlignment="1" applyProtection="1">
      <alignment horizontal="center" vertical="center"/>
      <protection locked="0"/>
    </xf>
    <xf numFmtId="14" fontId="2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0" fontId="2" fillId="5" borderId="0" xfId="0" applyFont="1" applyFill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right" vertical="top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14" fontId="2" fillId="7" borderId="0" xfId="0" applyNumberFormat="1" applyFont="1" applyFill="1" applyAlignment="1">
      <alignment horizontal="right" vertical="top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center" vertical="center"/>
    </xf>
    <xf numFmtId="1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anl\OneDrive\Documents\DOCS%20JPS\COMPTABILITE%20JPS\facturation\SUIVI%20PAIEMENT%20FACTURE%20JPS.xlsx" TargetMode="External"/><Relationship Id="rId1" Type="http://schemas.openxmlformats.org/officeDocument/2006/relationships/externalLinkPath" Target="SUIVI%20PAIEMENT%20FACTURE%20JP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NbLettre.xla" TargetMode="External"/><Relationship Id="rId2" Type="http://schemas.openxmlformats.org/officeDocument/2006/relationships/externalLinkPath" Target="file:///C:\Users\jeanl\OneDrive\Desktop\NbLettre.xla" TargetMode="External"/><Relationship Id="rId1" Type="http://schemas.openxmlformats.org/officeDocument/2006/relationships/externalLinkPath" Target="/Users/jeanl/OneDrive/Desktop/NbLettre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PS"/>
      <sheetName val="BUNIA JPS"/>
      <sheetName val="Feuil1"/>
    </sheetNames>
    <sheetDataSet>
      <sheetData sheetId="0"/>
      <sheetData sheetId="1">
        <row r="1">
          <cell r="E1" t="str">
            <v>Designation cmde</v>
          </cell>
          <cell r="F1" t="str">
            <v>Valr cmdée</v>
          </cell>
          <cell r="G1" t="str">
            <v>Devise</v>
          </cell>
          <cell r="H1" t="str">
            <v>Observations</v>
          </cell>
        </row>
        <row r="2">
          <cell r="E2" t="str">
            <v>REMBOURSEMENT 50% TRANS. FACT JPS N°034</v>
          </cell>
          <cell r="F2">
            <v>6896000</v>
          </cell>
          <cell r="G2" t="str">
            <v>CDF</v>
          </cell>
          <cell r="H2" t="str">
            <v>Facture à comptabiliser</v>
          </cell>
        </row>
        <row r="3">
          <cell r="E3" t="str">
            <v>REMBOURSEMENT FRAIS JPS FACT N°  024</v>
          </cell>
          <cell r="F3">
            <v>1392000</v>
          </cell>
          <cell r="G3" t="str">
            <v>CDF</v>
          </cell>
          <cell r="H3" t="str">
            <v>Facture à comptabiliser</v>
          </cell>
        </row>
        <row r="4">
          <cell r="E4" t="str">
            <v>FRAIS ADMINISTRATIF DGRPI BUNIA</v>
          </cell>
          <cell r="F4">
            <v>1200</v>
          </cell>
          <cell r="G4" t="str">
            <v>USD</v>
          </cell>
          <cell r="H4" t="str">
            <v>Facture à comptabiliser</v>
          </cell>
        </row>
        <row r="5">
          <cell r="E5" t="str">
            <v>EXPEDITION EFFETS DR MAKTHAR GOMA-LUBUM</v>
          </cell>
          <cell r="F5">
            <v>2750</v>
          </cell>
          <cell r="G5" t="str">
            <v>USD</v>
          </cell>
          <cell r="H5" t="str">
            <v>Facture à comptabiliser</v>
          </cell>
        </row>
        <row r="6">
          <cell r="E6" t="str">
            <v>CHALLENGE REABO 1ERE EC SEPTEMBRE 2023</v>
          </cell>
          <cell r="F6">
            <v>50</v>
          </cell>
          <cell r="G6" t="str">
            <v>USD</v>
          </cell>
          <cell r="H6" t="str">
            <v>Facture à comptabiliser</v>
          </cell>
        </row>
        <row r="7">
          <cell r="E7" t="str">
            <v>LOYER ENTREPOT BUNIA</v>
          </cell>
          <cell r="F7">
            <v>345</v>
          </cell>
          <cell r="G7" t="str">
            <v>USD</v>
          </cell>
          <cell r="H7" t="str">
            <v>Facture à comptabiliser</v>
          </cell>
        </row>
        <row r="8">
          <cell r="E8" t="str">
            <v>LOYER ENTREPOT BUNIA</v>
          </cell>
          <cell r="F8">
            <v>345</v>
          </cell>
          <cell r="G8" t="str">
            <v>USD</v>
          </cell>
          <cell r="H8" t="str">
            <v>Facture à comptabiliser</v>
          </cell>
        </row>
        <row r="9">
          <cell r="E9" t="str">
            <v>LOYER ENTREPOT BUNIA</v>
          </cell>
          <cell r="F9">
            <v>345</v>
          </cell>
          <cell r="G9" t="str">
            <v>USD</v>
          </cell>
          <cell r="H9" t="str">
            <v>Facture à comptabiliser</v>
          </cell>
        </row>
        <row r="10">
          <cell r="E10" t="str">
            <v>Paiement salaire VAD Mai 2026</v>
          </cell>
          <cell r="F10">
            <v>320</v>
          </cell>
          <cell r="G10" t="str">
            <v>USD</v>
          </cell>
          <cell r="H10" t="str">
            <v>Facture à comptabiliser</v>
          </cell>
        </row>
        <row r="11">
          <cell r="E11" t="str">
            <v>Paiement salaire VAD Avril 2026</v>
          </cell>
          <cell r="F11">
            <v>80</v>
          </cell>
          <cell r="G11" t="str">
            <v>USD</v>
          </cell>
          <cell r="H11" t="str">
            <v>Facture à comptabiliser</v>
          </cell>
        </row>
        <row r="12">
          <cell r="E12" t="str">
            <v>Paiement salire VAD février &amp; Mars 2026</v>
          </cell>
          <cell r="F12">
            <v>180</v>
          </cell>
          <cell r="G12" t="str">
            <v>USD</v>
          </cell>
          <cell r="H12" t="str">
            <v>Facture à comptabiliser</v>
          </cell>
        </row>
        <row r="13">
          <cell r="E13" t="str">
            <v>REMBOURSEMENT 50% FRAIS TRANSPORT JPS</v>
          </cell>
          <cell r="F13">
            <v>5452000</v>
          </cell>
          <cell r="G13" t="str">
            <v>CDF</v>
          </cell>
          <cell r="H13" t="str">
            <v>Facture à comptabiliser</v>
          </cell>
        </row>
        <row r="14">
          <cell r="E14" t="str">
            <v>TA 1000 PA BUN-KIN deuxieme  lot</v>
          </cell>
          <cell r="F14">
            <v>32781000</v>
          </cell>
          <cell r="G14" t="str">
            <v>CDF</v>
          </cell>
          <cell r="H14" t="str">
            <v>Facture à comptabiliser</v>
          </cell>
        </row>
        <row r="15">
          <cell r="E15" t="str">
            <v>TA 1000 PA BUN-KIN PREMIER LOT</v>
          </cell>
          <cell r="F15">
            <v>32781000</v>
          </cell>
          <cell r="G15" t="str">
            <v>CDF</v>
          </cell>
          <cell r="H15" t="str">
            <v>Facture à comptabiliser</v>
          </cell>
        </row>
        <row r="16">
          <cell r="E16" t="str">
            <v>TA 1000 PA BUN-KIN troisièm lot</v>
          </cell>
          <cell r="F16">
            <v>32781000</v>
          </cell>
          <cell r="G16" t="str">
            <v>CDF</v>
          </cell>
          <cell r="H16" t="str">
            <v>Facture à comptabiliser</v>
          </cell>
        </row>
        <row r="17">
          <cell r="E17" t="str">
            <v>TA 3000  TERMINAUX BUN-KIN</v>
          </cell>
          <cell r="F17">
            <v>18750000</v>
          </cell>
          <cell r="G17" t="str">
            <v>CDF</v>
          </cell>
          <cell r="H17" t="str">
            <v>Facture à comptabiliser</v>
          </cell>
        </row>
        <row r="18">
          <cell r="E18" t="str">
            <v>TA 2500 TERMINAUX 1LOT BUN-LUB</v>
          </cell>
          <cell r="F18">
            <v>20312500</v>
          </cell>
          <cell r="G18" t="str">
            <v>CDF</v>
          </cell>
          <cell r="H18" t="str">
            <v>Facture à comptabiliser</v>
          </cell>
        </row>
        <row r="19">
          <cell r="E19" t="str">
            <v>NETTOYAGE ,RANGEMENT ET MANUTENTION</v>
          </cell>
          <cell r="F19">
            <v>600</v>
          </cell>
          <cell r="G19" t="str">
            <v>USD</v>
          </cell>
          <cell r="H19" t="str">
            <v>Facture à comptabiliser</v>
          </cell>
        </row>
        <row r="20">
          <cell r="E20" t="str">
            <v>PRESTATION ANTENNISTE 05 2026</v>
          </cell>
          <cell r="F20">
            <v>969000</v>
          </cell>
          <cell r="G20" t="str">
            <v>CDF</v>
          </cell>
          <cell r="H20" t="str">
            <v>Facture à comptabiliser</v>
          </cell>
        </row>
        <row r="21">
          <cell r="E21" t="str">
            <v>PRESTATION ANTENNISTE 06 2026</v>
          </cell>
          <cell r="F21">
            <v>117600</v>
          </cell>
          <cell r="G21" t="str">
            <v>CDF</v>
          </cell>
          <cell r="H21" t="str">
            <v>Facture à comptabiliser</v>
          </cell>
        </row>
        <row r="22">
          <cell r="E22" t="str">
            <v>PRESTATION ANTENNISTE 06 2026</v>
          </cell>
          <cell r="F22">
            <v>612000</v>
          </cell>
          <cell r="G22" t="str">
            <v>CDF</v>
          </cell>
          <cell r="H22" t="str">
            <v>Facture à comptabiliser</v>
          </cell>
        </row>
        <row r="23">
          <cell r="E23" t="str">
            <v>PRESTATION ANTENNISTE 08 2025</v>
          </cell>
          <cell r="F23">
            <v>860200</v>
          </cell>
          <cell r="G23" t="str">
            <v>CDF</v>
          </cell>
          <cell r="H23" t="str">
            <v>Facture à comptabiliser</v>
          </cell>
        </row>
        <row r="24">
          <cell r="E24" t="str">
            <v>PRESTATION ANTENNISTE 08 2025</v>
          </cell>
          <cell r="F24">
            <v>991100</v>
          </cell>
          <cell r="G24" t="str">
            <v>CDF</v>
          </cell>
          <cell r="H24" t="str">
            <v>Facture à comptabiliser</v>
          </cell>
        </row>
        <row r="25">
          <cell r="E25" t="str">
            <v>PRESTATION ANTENNISTE 08 2025</v>
          </cell>
          <cell r="F25">
            <v>1907400</v>
          </cell>
          <cell r="G25" t="str">
            <v>CDF</v>
          </cell>
          <cell r="H25" t="str">
            <v>Facture à comptabiliser</v>
          </cell>
        </row>
        <row r="26">
          <cell r="E26" t="str">
            <v>PRESTATION ANTENNISTE 08 2025</v>
          </cell>
          <cell r="F26">
            <v>1589500</v>
          </cell>
          <cell r="G26" t="str">
            <v>CDF</v>
          </cell>
          <cell r="H26" t="str">
            <v>Facture à comptabiliser</v>
          </cell>
        </row>
        <row r="27">
          <cell r="E27" t="str">
            <v>PRESTATION ANTENNISTE 08 2025</v>
          </cell>
          <cell r="F27">
            <v>991100</v>
          </cell>
          <cell r="G27" t="str">
            <v>CDF</v>
          </cell>
          <cell r="H27" t="str">
            <v>Facture à comptabiliser</v>
          </cell>
        </row>
        <row r="28">
          <cell r="E28" t="str">
            <v>PRESTATION ANTENNISTE 09 2025</v>
          </cell>
          <cell r="F28">
            <v>1776500</v>
          </cell>
          <cell r="G28" t="str">
            <v>CDF</v>
          </cell>
          <cell r="H28" t="str">
            <v>Facture à comptabiliser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1"/>
    </sheetNames>
    <definedNames>
      <definedName name="ConvNumberLetter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9DCC-3C9D-44FF-8A7B-40675344EBDB}">
  <dimension ref="A1:I76"/>
  <sheetViews>
    <sheetView showGridLines="0" tabSelected="1" zoomScale="70" zoomScaleNormal="70" workbookViewId="0">
      <pane ySplit="1" topLeftCell="A29" activePane="bottomLeft" state="frozen"/>
      <selection pane="bottomLeft" activeCell="C31" sqref="C31"/>
    </sheetView>
  </sheetViews>
  <sheetFormatPr baseColWidth="10" defaultColWidth="9.7265625" defaultRowHeight="14.5"/>
  <cols>
    <col min="1" max="1" width="16.1796875" customWidth="1"/>
    <col min="2" max="2" width="13.453125" customWidth="1"/>
    <col min="3" max="3" width="78.90625" customWidth="1"/>
    <col min="4" max="4" width="29.54296875" style="45" customWidth="1"/>
    <col min="5" max="5" width="14.36328125" bestFit="1" customWidth="1"/>
    <col min="6" max="6" width="9.26953125" customWidth="1"/>
    <col min="7" max="7" width="17.54296875" customWidth="1"/>
    <col min="8" max="8" width="43.26953125" customWidth="1"/>
    <col min="9" max="9" width="87.6328125" bestFit="1" customWidth="1"/>
  </cols>
  <sheetData>
    <row r="1" spans="1:9" s="4" customForma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9" s="12" customFormat="1" ht="16.5" customHeight="1">
      <c r="A2" s="5">
        <v>46140</v>
      </c>
      <c r="B2" s="5"/>
      <c r="C2" s="6" t="s">
        <v>8</v>
      </c>
      <c r="D2" s="7"/>
      <c r="E2" s="8">
        <f>VLOOKUP($C2,'[1]BUNIA JPS'!E1:H28,2,0)</f>
        <v>6896000</v>
      </c>
      <c r="F2" s="8" t="s">
        <v>9</v>
      </c>
      <c r="G2" s="9">
        <v>4100049404</v>
      </c>
      <c r="H2" s="10" t="s">
        <v>10</v>
      </c>
      <c r="I2" s="11" t="str" cm="1">
        <f t="array" ref="I2">UPPER([2]!ConvNumberLetter(E2))</f>
        <v xml:space="preserve">SIX MILLIONS HUIT CENT QUATRE-VINGT-SEIZE MILLE  </v>
      </c>
    </row>
    <row r="3" spans="1:9" s="12" customFormat="1" ht="16.5" customHeight="1">
      <c r="A3" s="5">
        <v>46139</v>
      </c>
      <c r="B3" s="5"/>
      <c r="C3" s="6" t="s">
        <v>11</v>
      </c>
      <c r="D3" s="7"/>
      <c r="E3" s="8">
        <f>VLOOKUP($C3,'[1]BUNIA JPS'!E2:H29,2,0)</f>
        <v>1392000</v>
      </c>
      <c r="F3" s="8" t="s">
        <v>9</v>
      </c>
      <c r="G3" s="9">
        <v>4100048821</v>
      </c>
      <c r="H3" s="10" t="s">
        <v>10</v>
      </c>
      <c r="I3" s="11" t="str" cm="1">
        <f t="array" ref="I3">UPPER([2]!ConvNumberLetter(E3))</f>
        <v xml:space="preserve">UN MILLION TROIS CENT QUATRE-VINGT-DOUZE MILLE  </v>
      </c>
    </row>
    <row r="4" spans="1:9" s="12" customFormat="1" ht="16.5" customHeight="1">
      <c r="A4" s="13">
        <v>46077</v>
      </c>
      <c r="B4" s="13"/>
      <c r="C4" s="14" t="s">
        <v>12</v>
      </c>
      <c r="D4" s="15" t="s">
        <v>13</v>
      </c>
      <c r="E4" s="16">
        <f>VLOOKUP($C4,'[1]BUNIA JPS'!E3:H30,2,0)*2400</f>
        <v>2880000</v>
      </c>
      <c r="F4" s="16" t="s">
        <v>14</v>
      </c>
      <c r="G4" s="17">
        <v>4100038148</v>
      </c>
      <c r="H4" s="18" t="s">
        <v>10</v>
      </c>
      <c r="I4" s="19" t="str" cm="1">
        <f t="array" ref="I4">UPPER([2]!ConvNumberLetter(E4))</f>
        <v xml:space="preserve">DEUX MILLIONS HUIT CENT QUATRE-VINGTS MILLE  </v>
      </c>
    </row>
    <row r="5" spans="1:9" s="12" customFormat="1" ht="16.5" customHeight="1">
      <c r="A5" s="5">
        <v>46070</v>
      </c>
      <c r="B5" s="5"/>
      <c r="C5" s="6" t="s">
        <v>15</v>
      </c>
      <c r="D5" s="7" t="s">
        <v>16</v>
      </c>
      <c r="E5" s="8">
        <f>VLOOKUP($C5,'[1]BUNIA JPS'!E4:H31,2,0)*2400</f>
        <v>6600000</v>
      </c>
      <c r="F5" s="8" t="s">
        <v>14</v>
      </c>
      <c r="G5" s="9">
        <v>4100036806</v>
      </c>
      <c r="H5" s="10" t="s">
        <v>10</v>
      </c>
      <c r="I5" s="11" t="str" cm="1">
        <f t="array" ref="I5">UPPER([2]!ConvNumberLetter(E5))</f>
        <v xml:space="preserve">SIX MILLIONS SIX CENTS MILLE  </v>
      </c>
    </row>
    <row r="6" spans="1:9" s="12" customFormat="1" ht="16.5" customHeight="1">
      <c r="A6" s="5">
        <v>45223</v>
      </c>
      <c r="B6" s="5"/>
      <c r="C6" s="6" t="s">
        <v>17</v>
      </c>
      <c r="D6" s="7"/>
      <c r="E6" s="8">
        <f>VLOOKUP($C6,'[1]BUNIA JPS'!E5:H32,2,0)</f>
        <v>50</v>
      </c>
      <c r="F6" s="8" t="s">
        <v>14</v>
      </c>
      <c r="G6" s="9">
        <v>4000967236</v>
      </c>
      <c r="H6" s="10" t="s">
        <v>10</v>
      </c>
      <c r="I6" s="11" t="str" cm="1">
        <f t="array" ref="I6">UPPER([2]!ConvNumberLetter(E6))</f>
        <v xml:space="preserve">CINQUANTE </v>
      </c>
    </row>
    <row r="7" spans="1:9" s="12" customFormat="1" ht="16.5" customHeight="1">
      <c r="A7" s="5">
        <v>46036</v>
      </c>
      <c r="B7" s="5"/>
      <c r="C7" s="6" t="s">
        <v>18</v>
      </c>
      <c r="D7" s="7"/>
      <c r="E7" s="8">
        <f>VLOOKUP($C7,'[1]BUNIA JPS'!E6:H33,2,0)</f>
        <v>345</v>
      </c>
      <c r="F7" s="8" t="s">
        <v>14</v>
      </c>
      <c r="G7" s="9">
        <v>3800016562</v>
      </c>
      <c r="H7" s="10" t="s">
        <v>10</v>
      </c>
      <c r="I7" s="11" t="str" cm="1">
        <f t="array" ref="I7">UPPER([2]!ConvNumberLetter(E7))</f>
        <v xml:space="preserve">TROIS CENT QUARANTE-CINQ </v>
      </c>
    </row>
    <row r="8" spans="1:9" s="12" customFormat="1" ht="16.5" customHeight="1">
      <c r="A8" s="5">
        <v>46036</v>
      </c>
      <c r="B8" s="5"/>
      <c r="C8" s="6" t="s">
        <v>18</v>
      </c>
      <c r="D8" s="7"/>
      <c r="E8" s="8">
        <f>VLOOKUP($C8,'[1]BUNIA JPS'!E7:H34,2,0)</f>
        <v>345</v>
      </c>
      <c r="F8" s="8" t="s">
        <v>14</v>
      </c>
      <c r="G8" s="9">
        <v>3800016562</v>
      </c>
      <c r="H8" s="10" t="s">
        <v>10</v>
      </c>
      <c r="I8" s="11" t="str" cm="1">
        <f t="array" ref="I8">UPPER([2]!ConvNumberLetter(E8))</f>
        <v xml:space="preserve">TROIS CENT QUARANTE-CINQ </v>
      </c>
    </row>
    <row r="9" spans="1:9" s="12" customFormat="1" ht="16.5" customHeight="1">
      <c r="A9" s="5">
        <v>46036</v>
      </c>
      <c r="B9" s="5"/>
      <c r="C9" s="6" t="s">
        <v>18</v>
      </c>
      <c r="D9" s="7"/>
      <c r="E9" s="8">
        <f>VLOOKUP($C9,'[1]BUNIA JPS'!E8:H35,2,0)</f>
        <v>345</v>
      </c>
      <c r="F9" s="8" t="s">
        <v>14</v>
      </c>
      <c r="G9" s="9">
        <v>3800016562</v>
      </c>
      <c r="H9" s="10" t="s">
        <v>10</v>
      </c>
      <c r="I9" s="11" t="str" cm="1">
        <f t="array" ref="I9">UPPER([2]!ConvNumberLetter(E9))</f>
        <v xml:space="preserve">TROIS CENT QUARANTE-CINQ </v>
      </c>
    </row>
    <row r="10" spans="1:9" s="12" customFormat="1" ht="16.5" customHeight="1">
      <c r="A10" s="5">
        <v>46192</v>
      </c>
      <c r="B10" s="5"/>
      <c r="C10" s="6" t="s">
        <v>19</v>
      </c>
      <c r="D10" s="7"/>
      <c r="E10" s="8">
        <f>VLOOKUP($C10,'[1]BUNIA JPS'!E9:H36,2,0)</f>
        <v>320</v>
      </c>
      <c r="F10" s="8" t="s">
        <v>14</v>
      </c>
      <c r="G10" s="9">
        <v>4100058090</v>
      </c>
      <c r="H10" s="10" t="s">
        <v>10</v>
      </c>
      <c r="I10" s="11" t="str" cm="1">
        <f t="array" ref="I10">UPPER([2]!ConvNumberLetter(E10))</f>
        <v xml:space="preserve">TROIS CENT VINGT </v>
      </c>
    </row>
    <row r="11" spans="1:9" s="12" customFormat="1" ht="16.5" customHeight="1">
      <c r="A11" s="5">
        <v>46165</v>
      </c>
      <c r="B11" s="5"/>
      <c r="C11" s="6" t="s">
        <v>20</v>
      </c>
      <c r="D11" s="7"/>
      <c r="E11" s="8">
        <f>VLOOKUP($C11,'[1]BUNIA JPS'!E10:H37,2,0)</f>
        <v>80</v>
      </c>
      <c r="F11" s="8" t="s">
        <v>14</v>
      </c>
      <c r="G11" s="9">
        <v>4100053246</v>
      </c>
      <c r="H11" s="10" t="s">
        <v>10</v>
      </c>
      <c r="I11" s="11" t="str" cm="1">
        <f t="array" ref="I11">UPPER([2]!ConvNumberLetter(E11))</f>
        <v xml:space="preserve">QUATRE-VINGTS </v>
      </c>
    </row>
    <row r="12" spans="1:9" s="12" customFormat="1" ht="16.5" customHeight="1">
      <c r="A12" s="5">
        <v>46129</v>
      </c>
      <c r="B12" s="5"/>
      <c r="C12" s="6" t="s">
        <v>21</v>
      </c>
      <c r="D12" s="7"/>
      <c r="E12" s="8">
        <f>VLOOKUP($C12,'[1]BUNIA JPS'!E11:H38,2,0)</f>
        <v>180</v>
      </c>
      <c r="F12" s="8" t="s">
        <v>14</v>
      </c>
      <c r="G12" s="9">
        <v>4100047578</v>
      </c>
      <c r="H12" s="10" t="s">
        <v>10</v>
      </c>
      <c r="I12" s="11" t="str" cm="1">
        <f t="array" ref="I12">UPPER([2]!ConvNumberLetter(E12))</f>
        <v xml:space="preserve">CENT QUATRE-VINGTS </v>
      </c>
    </row>
    <row r="13" spans="1:9" s="12" customFormat="1" ht="16.5" customHeight="1">
      <c r="A13" s="5">
        <v>45953</v>
      </c>
      <c r="B13" s="5"/>
      <c r="C13" s="6" t="s">
        <v>22</v>
      </c>
      <c r="D13" s="7"/>
      <c r="E13" s="8">
        <f>VLOOKUP($C13,'[1]BUNIA JPS'!E12:H39,2,0)</f>
        <v>5452000</v>
      </c>
      <c r="F13" s="8" t="s">
        <v>9</v>
      </c>
      <c r="G13" s="9">
        <v>4100014610</v>
      </c>
      <c r="H13" s="10" t="s">
        <v>10</v>
      </c>
      <c r="I13" s="11" t="str" cm="1">
        <f t="array" ref="I13">UPPER([2]!ConvNumberLetter(E13))</f>
        <v xml:space="preserve">CINQ MILLIONS QUATRE CENT CINQUANTE-DEUX MILLE  </v>
      </c>
    </row>
    <row r="14" spans="1:9" s="12" customFormat="1" ht="16.5" customHeight="1">
      <c r="A14" s="13">
        <v>46160</v>
      </c>
      <c r="B14" s="13"/>
      <c r="C14" s="14" t="s">
        <v>23</v>
      </c>
      <c r="D14" s="15" t="s">
        <v>24</v>
      </c>
      <c r="E14" s="16">
        <f>VLOOKUP($C14,'[1]BUNIA JPS'!E13:H40,2,0)</f>
        <v>32781000</v>
      </c>
      <c r="F14" s="16" t="s">
        <v>9</v>
      </c>
      <c r="G14" s="17">
        <v>4100052048</v>
      </c>
      <c r="H14" s="18" t="s">
        <v>10</v>
      </c>
      <c r="I14" s="19" t="str" cm="1">
        <f t="array" ref="I14">UPPER([2]!ConvNumberLetter(E14))</f>
        <v xml:space="preserve">TRENTE-DEUX MILLIONS SEPT CENT QUATRE-VINGT-UN MILLE  </v>
      </c>
    </row>
    <row r="15" spans="1:9" s="12" customFormat="1" ht="16.5" customHeight="1">
      <c r="A15" s="13">
        <v>46160</v>
      </c>
      <c r="B15" s="13"/>
      <c r="C15" s="14" t="s">
        <v>25</v>
      </c>
      <c r="D15" s="15" t="s">
        <v>26</v>
      </c>
      <c r="E15" s="16">
        <f>VLOOKUP($C15,'[1]BUNIA JPS'!E14:H41,2,0)</f>
        <v>32781000</v>
      </c>
      <c r="F15" s="16" t="s">
        <v>9</v>
      </c>
      <c r="G15" s="17">
        <v>4100052049</v>
      </c>
      <c r="H15" s="18" t="s">
        <v>10</v>
      </c>
      <c r="I15" s="19" t="str" cm="1">
        <f t="array" ref="I15">UPPER([2]!ConvNumberLetter(E15))</f>
        <v xml:space="preserve">TRENTE-DEUX MILLIONS SEPT CENT QUATRE-VINGT-UN MILLE  </v>
      </c>
    </row>
    <row r="16" spans="1:9" s="12" customFormat="1" ht="16.5" customHeight="1">
      <c r="A16" s="13">
        <v>46160</v>
      </c>
      <c r="B16" s="13"/>
      <c r="C16" s="14" t="s">
        <v>27</v>
      </c>
      <c r="D16" s="15" t="s">
        <v>24</v>
      </c>
      <c r="E16" s="16">
        <f>VLOOKUP($C16,'[1]BUNIA JPS'!E15:H42,2,0)</f>
        <v>32781000</v>
      </c>
      <c r="F16" s="16" t="s">
        <v>9</v>
      </c>
      <c r="G16" s="17">
        <v>4100052050</v>
      </c>
      <c r="H16" s="18" t="s">
        <v>10</v>
      </c>
      <c r="I16" s="19" t="str" cm="1">
        <f t="array" ref="I16">UPPER([2]!ConvNumberLetter(E16))</f>
        <v xml:space="preserve">TRENTE-DEUX MILLIONS SEPT CENT QUATRE-VINGT-UN MILLE  </v>
      </c>
    </row>
    <row r="17" spans="1:9" s="12" customFormat="1" ht="16.5" customHeight="1">
      <c r="A17" s="5">
        <v>46088</v>
      </c>
      <c r="B17" s="5">
        <v>46090</v>
      </c>
      <c r="C17" s="6" t="s">
        <v>28</v>
      </c>
      <c r="D17" s="7" t="s">
        <v>29</v>
      </c>
      <c r="E17" s="8">
        <f>VLOOKUP($C17,'[1]BUNIA JPS'!E16:H43,2,0)</f>
        <v>18750000</v>
      </c>
      <c r="F17" s="8" t="s">
        <v>9</v>
      </c>
      <c r="G17" s="9">
        <v>4100039935</v>
      </c>
      <c r="H17" s="10" t="s">
        <v>10</v>
      </c>
      <c r="I17" s="11" t="str" cm="1">
        <f t="array" ref="I17">UPPER([2]!ConvNumberLetter(E17))</f>
        <v xml:space="preserve">DIX-HUIT MILLIONS SEPT CENT CINQUANTE MILLE  </v>
      </c>
    </row>
    <row r="18" spans="1:9" s="12" customFormat="1" ht="16.5" customHeight="1">
      <c r="A18" s="5">
        <v>46085</v>
      </c>
      <c r="B18" s="5">
        <v>46090</v>
      </c>
      <c r="C18" s="6" t="s">
        <v>30</v>
      </c>
      <c r="D18" s="7" t="s">
        <v>31</v>
      </c>
      <c r="E18" s="8">
        <f>VLOOKUP($C18,'[1]BUNIA JPS'!E17:H44,2,0)</f>
        <v>20312500</v>
      </c>
      <c r="F18" s="8" t="s">
        <v>9</v>
      </c>
      <c r="G18" s="9">
        <v>4100039511</v>
      </c>
      <c r="H18" s="10" t="s">
        <v>10</v>
      </c>
      <c r="I18" s="11" t="str" cm="1">
        <f t="array" ref="I18">UPPER([2]!ConvNumberLetter(E18))</f>
        <v xml:space="preserve">VINGT MILLIONS TROIS CENT DOUZE MILLE CINQ CENTS </v>
      </c>
    </row>
    <row r="19" spans="1:9" s="12" customFormat="1" ht="16.5" customHeight="1">
      <c r="A19" s="5">
        <v>46006</v>
      </c>
      <c r="B19" s="5"/>
      <c r="C19" s="6" t="s">
        <v>32</v>
      </c>
      <c r="D19" s="7"/>
      <c r="E19" s="8">
        <f>VLOOKUP($C19,'[1]BUNIA JPS'!E18:H45,2,0)</f>
        <v>600</v>
      </c>
      <c r="F19" s="8" t="s">
        <v>14</v>
      </c>
      <c r="G19" s="9">
        <v>4100025173</v>
      </c>
      <c r="H19" s="10" t="s">
        <v>10</v>
      </c>
      <c r="I19" s="11" t="str" cm="1">
        <f t="array" ref="I19">UPPER([2]!ConvNumberLetter(E19))</f>
        <v xml:space="preserve">SIX CENTS </v>
      </c>
    </row>
    <row r="20" spans="1:9" s="12" customFormat="1" ht="16.5" customHeight="1">
      <c r="A20" s="5">
        <v>46029</v>
      </c>
      <c r="B20" s="5"/>
      <c r="C20" s="6" t="s">
        <v>33</v>
      </c>
      <c r="D20" s="7"/>
      <c r="E20" s="8">
        <f>VLOOKUP($C20,'[1]BUNIA JPS'!E19:H46,2,0)</f>
        <v>969000</v>
      </c>
      <c r="F20" s="8" t="s">
        <v>9</v>
      </c>
      <c r="G20" s="9">
        <v>3800016483</v>
      </c>
      <c r="H20" s="10" t="s">
        <v>10</v>
      </c>
      <c r="I20" s="11" t="str" cm="1">
        <f t="array" ref="I20">UPPER([2]!ConvNumberLetter(E20))</f>
        <v xml:space="preserve">NEUF CENT SOIXANTE-NEUF MILLE  </v>
      </c>
    </row>
    <row r="21" spans="1:9" s="12" customFormat="1" ht="16.5" customHeight="1">
      <c r="A21" s="5">
        <v>46029</v>
      </c>
      <c r="B21" s="5"/>
      <c r="C21" s="6" t="s">
        <v>34</v>
      </c>
      <c r="D21" s="7"/>
      <c r="E21" s="8">
        <f>VLOOKUP($C21,'[1]BUNIA JPS'!E20:H47,2,0)</f>
        <v>117600</v>
      </c>
      <c r="F21" s="8" t="s">
        <v>9</v>
      </c>
      <c r="G21" s="9">
        <v>3800016483</v>
      </c>
      <c r="H21" s="10" t="s">
        <v>10</v>
      </c>
      <c r="I21" s="11" t="str" cm="1">
        <f t="array" ref="I21">UPPER([2]!ConvNumberLetter(E21))</f>
        <v xml:space="preserve">CENT DIX-SEPT MILLE SIX CENTS </v>
      </c>
    </row>
    <row r="22" spans="1:9" s="12" customFormat="1" ht="16.5" customHeight="1">
      <c r="A22" s="5">
        <v>46029</v>
      </c>
      <c r="B22" s="5"/>
      <c r="C22" s="6" t="s">
        <v>34</v>
      </c>
      <c r="D22" s="7"/>
      <c r="E22" s="8">
        <f>VLOOKUP($C22,'[1]BUNIA JPS'!E21:H48,2,0)</f>
        <v>117600</v>
      </c>
      <c r="F22" s="8" t="s">
        <v>9</v>
      </c>
      <c r="G22" s="9">
        <v>3800016483</v>
      </c>
      <c r="H22" s="10" t="s">
        <v>10</v>
      </c>
      <c r="I22" s="11" t="str" cm="1">
        <f t="array" ref="I22">UPPER([2]!ConvNumberLetter(E22))</f>
        <v xml:space="preserve">CENT DIX-SEPT MILLE SIX CENTS </v>
      </c>
    </row>
    <row r="23" spans="1:9" s="12" customFormat="1" ht="16.5" customHeight="1">
      <c r="A23" s="5">
        <v>45727</v>
      </c>
      <c r="B23" s="5"/>
      <c r="C23" s="6" t="s">
        <v>35</v>
      </c>
      <c r="D23" s="7"/>
      <c r="E23" s="8">
        <f>VLOOKUP($C23,'[1]BUNIA JPS'!E22:H49,2,0)</f>
        <v>860200</v>
      </c>
      <c r="F23" s="8" t="s">
        <v>9</v>
      </c>
      <c r="G23" s="9">
        <v>3800015947</v>
      </c>
      <c r="H23" s="10" t="s">
        <v>10</v>
      </c>
      <c r="I23" s="11" t="str" cm="1">
        <f t="array" ref="I23">UPPER([2]!ConvNumberLetter(E23))</f>
        <v xml:space="preserve">HUIT CENT SOIXANTE MILLE DEUX CENTS </v>
      </c>
    </row>
    <row r="24" spans="1:9" s="12" customFormat="1" ht="16.5" customHeight="1">
      <c r="A24" s="5">
        <v>45727</v>
      </c>
      <c r="B24" s="5"/>
      <c r="C24" s="6" t="s">
        <v>35</v>
      </c>
      <c r="D24" s="7"/>
      <c r="E24" s="8">
        <f>VLOOKUP($C24,'[1]BUNIA JPS'!E23:H50,2,0)</f>
        <v>860200</v>
      </c>
      <c r="F24" s="8" t="s">
        <v>9</v>
      </c>
      <c r="G24" s="9">
        <v>3800015947</v>
      </c>
      <c r="H24" s="10" t="s">
        <v>10</v>
      </c>
      <c r="I24" s="11" t="str" cm="1">
        <f t="array" ref="I24">UPPER([2]!ConvNumberLetter(E24))</f>
        <v xml:space="preserve">HUIT CENT SOIXANTE MILLE DEUX CENTS </v>
      </c>
    </row>
    <row r="25" spans="1:9" s="12" customFormat="1" ht="16.5" customHeight="1">
      <c r="A25" s="5">
        <v>45727</v>
      </c>
      <c r="B25" s="5"/>
      <c r="C25" s="6" t="s">
        <v>35</v>
      </c>
      <c r="D25" s="7"/>
      <c r="E25" s="8">
        <f>VLOOKUP($C25,'[1]BUNIA JPS'!E24:H51,2,0)</f>
        <v>991100</v>
      </c>
      <c r="F25" s="8" t="s">
        <v>9</v>
      </c>
      <c r="G25" s="9">
        <v>3800015947</v>
      </c>
      <c r="H25" s="10" t="s">
        <v>10</v>
      </c>
      <c r="I25" s="11" t="str" cm="1">
        <f t="array" ref="I25">UPPER([2]!ConvNumberLetter(E25))</f>
        <v xml:space="preserve">NEUF CENT QUATRE-VINGT-ONZE MILLE CENT </v>
      </c>
    </row>
    <row r="26" spans="1:9" s="12" customFormat="1" ht="16.5" customHeight="1">
      <c r="A26" s="5">
        <v>45727</v>
      </c>
      <c r="B26" s="5"/>
      <c r="C26" s="6" t="s">
        <v>35</v>
      </c>
      <c r="D26" s="7"/>
      <c r="E26" s="8">
        <f>VLOOKUP($C26,'[1]BUNIA JPS'!E25:H52,2,0)</f>
        <v>1907400</v>
      </c>
      <c r="F26" s="8" t="s">
        <v>9</v>
      </c>
      <c r="G26" s="9">
        <v>3800015947</v>
      </c>
      <c r="H26" s="10" t="s">
        <v>10</v>
      </c>
      <c r="I26" s="11" t="str" cm="1">
        <f t="array" ref="I26">UPPER([2]!ConvNumberLetter(E26))</f>
        <v xml:space="preserve">UN MILLION NEUF CENT SEPT MILLE QUATRE CENTS </v>
      </c>
    </row>
    <row r="27" spans="1:9" s="12" customFormat="1" ht="16.5" customHeight="1">
      <c r="A27" s="5">
        <v>45727</v>
      </c>
      <c r="B27" s="5"/>
      <c r="C27" s="6" t="s">
        <v>35</v>
      </c>
      <c r="D27" s="7"/>
      <c r="E27" s="8">
        <f>VLOOKUP($C27,'[1]BUNIA JPS'!E26:H53,2,0)</f>
        <v>1589500</v>
      </c>
      <c r="F27" s="8" t="s">
        <v>9</v>
      </c>
      <c r="G27" s="9">
        <v>3800015947</v>
      </c>
      <c r="H27" s="10" t="s">
        <v>10</v>
      </c>
      <c r="I27" s="11" t="str" cm="1">
        <f t="array" ref="I27">UPPER([2]!ConvNumberLetter(E27))</f>
        <v xml:space="preserve">UN MILLION CINQ CENT QUATRE-VINGT-NEUF MILLE CINQ CENTS </v>
      </c>
    </row>
    <row r="28" spans="1:9" s="12" customFormat="1" ht="16.5" customHeight="1">
      <c r="A28" s="5">
        <v>45727</v>
      </c>
      <c r="B28" s="5"/>
      <c r="C28" s="6" t="s">
        <v>36</v>
      </c>
      <c r="D28" s="7"/>
      <c r="E28" s="8">
        <f>VLOOKUP($C28,'[1]BUNIA JPS'!E27:H54,2,0)</f>
        <v>1776500</v>
      </c>
      <c r="F28" s="8" t="s">
        <v>9</v>
      </c>
      <c r="G28" s="9">
        <v>3800015947</v>
      </c>
      <c r="H28" s="10" t="s">
        <v>10</v>
      </c>
      <c r="I28" s="11" t="str" cm="1">
        <f t="array" ref="I28">UPPER([2]!ConvNumberLetter(E28))</f>
        <v xml:space="preserve">UN MILLION SEPT CENT SOIXANTE-SEIZE MILLE CINQ CENTS </v>
      </c>
    </row>
    <row r="29" spans="1:9" s="12" customFormat="1" ht="16.5" customHeight="1">
      <c r="A29" s="5">
        <v>46167</v>
      </c>
      <c r="B29" s="5"/>
      <c r="C29" s="6" t="s">
        <v>37</v>
      </c>
      <c r="D29" s="7" t="s">
        <v>38</v>
      </c>
      <c r="E29" s="8">
        <v>12789000</v>
      </c>
      <c r="F29" s="8" t="s">
        <v>9</v>
      </c>
      <c r="G29" s="10">
        <v>4100058631</v>
      </c>
      <c r="H29" s="10" t="s">
        <v>39</v>
      </c>
      <c r="I29" s="11" t="str" cm="1">
        <f t="array" ref="I29">UPPER([2]!ConvNumberLetter(E29))</f>
        <v xml:space="preserve">DOUZE MILLIONS SEPT CENT QUATRE-VINGT-NEUF MILLE  </v>
      </c>
    </row>
    <row r="30" spans="1:9" s="12" customFormat="1" ht="16.5" customHeight="1">
      <c r="A30" s="5">
        <v>46169</v>
      </c>
      <c r="B30" s="5">
        <v>46169</v>
      </c>
      <c r="C30" s="6" t="s">
        <v>40</v>
      </c>
      <c r="D30" s="20" t="s">
        <v>41</v>
      </c>
      <c r="E30" s="8">
        <v>4263000</v>
      </c>
      <c r="F30" s="8" t="s">
        <v>9</v>
      </c>
      <c r="G30" s="9" t="s">
        <v>42</v>
      </c>
      <c r="H30" s="10" t="s">
        <v>43</v>
      </c>
      <c r="I30" s="11" t="str" cm="1">
        <f t="array" ref="I30">UPPER([2]!ConvNumberLetter(E30))</f>
        <v xml:space="preserve">QUATRE MILLIONS DEUX CENT SOIXANTE-TROIS MILLE  </v>
      </c>
    </row>
    <row r="31" spans="1:9" s="12" customFormat="1" ht="16.5" customHeight="1">
      <c r="A31" s="5">
        <v>46181</v>
      </c>
      <c r="B31" s="5">
        <v>46181</v>
      </c>
      <c r="C31" s="6" t="s">
        <v>44</v>
      </c>
      <c r="D31" s="20" t="s">
        <v>45</v>
      </c>
      <c r="E31" s="8">
        <v>24554880</v>
      </c>
      <c r="F31" s="8" t="s">
        <v>9</v>
      </c>
      <c r="G31" s="9" t="s">
        <v>42</v>
      </c>
      <c r="H31" s="10" t="s">
        <v>43</v>
      </c>
      <c r="I31" s="11" t="str" cm="1">
        <f t="array" ref="I31">UPPER([2]!ConvNumberLetter(E31))</f>
        <v xml:space="preserve">VINGT-QUATRE MILLIONS CINQ CENT CINQUANTE-QUATRE MILLE HUIT CENT QUATRE-VINGTS </v>
      </c>
    </row>
    <row r="32" spans="1:9" s="12" customFormat="1" ht="16.5" customHeight="1">
      <c r="A32" s="5">
        <v>45915</v>
      </c>
      <c r="B32" s="5">
        <v>45915</v>
      </c>
      <c r="C32" s="6" t="s">
        <v>46</v>
      </c>
      <c r="D32" s="20" t="s">
        <v>47</v>
      </c>
      <c r="E32" s="8">
        <v>6960</v>
      </c>
      <c r="F32" s="8" t="s">
        <v>14</v>
      </c>
      <c r="G32" s="9" t="s">
        <v>42</v>
      </c>
      <c r="H32" s="10" t="s">
        <v>43</v>
      </c>
      <c r="I32" s="11" t="str" cm="1">
        <f t="array" ref="I32">UPPER([2]!ConvNumberLetter(E32))</f>
        <v xml:space="preserve">SIX MILLE NEUF CENT SOIXANTE </v>
      </c>
    </row>
    <row r="33" spans="1:9" s="12" customFormat="1" ht="16.5" customHeight="1">
      <c r="A33" s="5">
        <v>46199</v>
      </c>
      <c r="B33" s="5">
        <v>46199</v>
      </c>
      <c r="C33" s="6" t="s">
        <v>48</v>
      </c>
      <c r="D33" s="7" t="s">
        <v>49</v>
      </c>
      <c r="E33" s="8">
        <v>14311500</v>
      </c>
      <c r="F33" s="8" t="s">
        <v>9</v>
      </c>
      <c r="G33" s="9">
        <v>4100061092</v>
      </c>
      <c r="H33" s="10" t="s">
        <v>39</v>
      </c>
      <c r="I33" s="11" t="str" cm="1">
        <f t="array" ref="I33">UPPER([2]!ConvNumberLetter(E33))</f>
        <v xml:space="preserve">QUATORZE MILLIONS TROIS CENT ONZE MILLE CINQ CENTS </v>
      </c>
    </row>
    <row r="34" spans="1:9" s="12" customFormat="1" ht="16.5" customHeight="1">
      <c r="A34" s="5">
        <v>46197</v>
      </c>
      <c r="B34" s="5">
        <v>46198</v>
      </c>
      <c r="C34" s="6" t="s">
        <v>50</v>
      </c>
      <c r="D34" s="7" t="s">
        <v>51</v>
      </c>
      <c r="E34" s="8">
        <v>17052000</v>
      </c>
      <c r="F34" s="8" t="s">
        <v>9</v>
      </c>
      <c r="G34" s="9">
        <v>3800016562</v>
      </c>
      <c r="H34" s="10" t="s">
        <v>39</v>
      </c>
      <c r="I34" s="11" t="str" cm="1">
        <f t="array" ref="I34">UPPER([2]!ConvNumberLetter(E34))</f>
        <v xml:space="preserve">DIX-SEPT MILLIONS CINQUANTE-DEUX MILLE  </v>
      </c>
    </row>
    <row r="35" spans="1:9" s="27" customFormat="1" ht="16.5" customHeight="1">
      <c r="A35" s="21">
        <v>46157</v>
      </c>
      <c r="B35" s="21">
        <v>46157</v>
      </c>
      <c r="C35" s="22" t="s">
        <v>52</v>
      </c>
      <c r="D35" s="23" t="s">
        <v>53</v>
      </c>
      <c r="E35" s="24">
        <v>6189760</v>
      </c>
      <c r="F35" s="24" t="s">
        <v>9</v>
      </c>
      <c r="G35" s="25">
        <v>4100051680</v>
      </c>
      <c r="H35" s="26" t="s">
        <v>39</v>
      </c>
      <c r="I35" s="11" t="str" cm="1">
        <f t="array" ref="I35">UPPER([2]!ConvNumberLetter(E35))</f>
        <v xml:space="preserve">SIX MILLIONS CENT QUATRE-VINGT-NEUF MILLE SEPT CENT SOIXANTE </v>
      </c>
    </row>
    <row r="36" spans="1:9" s="12" customFormat="1" ht="16.5" customHeight="1">
      <c r="A36" s="21">
        <v>46157</v>
      </c>
      <c r="B36" s="21">
        <v>46157</v>
      </c>
      <c r="C36" s="22" t="s">
        <v>52</v>
      </c>
      <c r="D36" s="23" t="s">
        <v>54</v>
      </c>
      <c r="E36" s="24">
        <v>6182800</v>
      </c>
      <c r="F36" s="24" t="s">
        <v>9</v>
      </c>
      <c r="G36" s="25">
        <v>4100051662</v>
      </c>
      <c r="H36" s="26" t="s">
        <v>39</v>
      </c>
      <c r="I36" s="11" t="str" cm="1">
        <f t="array" ref="I36">UPPER([2]!ConvNumberLetter(E36))</f>
        <v xml:space="preserve">SIX MILLIONS CENT QUATRE-VINGT-DEUX MILLE HUIT CENTS </v>
      </c>
    </row>
    <row r="37" spans="1:9" s="12" customFormat="1" ht="16" customHeight="1">
      <c r="A37" s="21">
        <v>46151</v>
      </c>
      <c r="B37" s="21">
        <v>46151</v>
      </c>
      <c r="C37" s="22" t="s">
        <v>55</v>
      </c>
      <c r="D37" s="23" t="s">
        <v>56</v>
      </c>
      <c r="E37" s="24">
        <v>12200880</v>
      </c>
      <c r="F37" s="24" t="s">
        <v>9</v>
      </c>
      <c r="G37" s="25">
        <v>4100050196</v>
      </c>
      <c r="H37" s="26" t="s">
        <v>39</v>
      </c>
      <c r="I37" s="11" t="str" cm="1">
        <f t="array" ref="I37">UPPER([2]!ConvNumberLetter(E37))</f>
        <v xml:space="preserve">DOUZE MILLIONS DEUX CENTS MILLE HUIT CENT QUATRE-VINGTS </v>
      </c>
    </row>
    <row r="38" spans="1:9" s="12" customFormat="1" ht="16.5" customHeight="1">
      <c r="A38" s="21">
        <v>46082</v>
      </c>
      <c r="B38" s="21">
        <v>46091</v>
      </c>
      <c r="C38" s="22" t="s">
        <v>57</v>
      </c>
      <c r="D38" s="23" t="s">
        <v>42</v>
      </c>
      <c r="E38" s="24">
        <v>2175000</v>
      </c>
      <c r="F38" s="24" t="s">
        <v>9</v>
      </c>
      <c r="G38" s="25" t="s">
        <v>42</v>
      </c>
      <c r="H38" s="26"/>
      <c r="I38" s="11" t="str" cm="1">
        <f t="array" ref="I38">UPPER([2]!ConvNumberLetter(E38))</f>
        <v xml:space="preserve">DEUX MILLIONS CENT SOIXANTE-QUINZE MILLE  </v>
      </c>
    </row>
    <row r="39" spans="1:9" s="12" customFormat="1" ht="16.5" customHeight="1">
      <c r="A39" s="21">
        <v>46151</v>
      </c>
      <c r="B39" s="21">
        <v>46151</v>
      </c>
      <c r="C39" s="22" t="s">
        <v>55</v>
      </c>
      <c r="D39" s="23" t="s">
        <v>58</v>
      </c>
      <c r="E39" s="24">
        <v>2338560</v>
      </c>
      <c r="F39" s="24" t="s">
        <v>9</v>
      </c>
      <c r="G39" s="25">
        <v>4100048845</v>
      </c>
      <c r="H39" s="26" t="s">
        <v>39</v>
      </c>
      <c r="I39" s="11" t="str" cm="1">
        <f t="array" ref="I39">UPPER([2]!ConvNumberLetter(E39))</f>
        <v xml:space="preserve">DEUX MILLIONS TROIS CENT TRENTE-HUIT MILLE CINQ CENT SOIXANTE </v>
      </c>
    </row>
    <row r="40" spans="1:9" s="12" customFormat="1" ht="16.5" customHeight="1">
      <c r="A40" s="5">
        <v>46225</v>
      </c>
      <c r="B40" s="5">
        <v>46225</v>
      </c>
      <c r="C40" s="6" t="s">
        <v>59</v>
      </c>
      <c r="D40" s="7" t="s">
        <v>60</v>
      </c>
      <c r="E40" s="8">
        <v>5774480</v>
      </c>
      <c r="F40" s="8" t="s">
        <v>9</v>
      </c>
      <c r="G40" s="9">
        <v>3800016483</v>
      </c>
      <c r="H40" s="10" t="s">
        <v>39</v>
      </c>
      <c r="I40" s="11" t="str" cm="1">
        <f t="array" ref="I40">UPPER([2]!ConvNumberLetter(E40))</f>
        <v xml:space="preserve">CINQ MILLIONS SEPT CENT SOIXANTE-QUATORZE MILLE QUATRE CENT QUATRE-VINGTS </v>
      </c>
    </row>
    <row r="41" spans="1:9" s="12" customFormat="1" ht="16.5" customHeight="1">
      <c r="A41" s="5">
        <v>46225</v>
      </c>
      <c r="B41" s="5">
        <v>46225</v>
      </c>
      <c r="C41" s="6" t="s">
        <v>61</v>
      </c>
      <c r="D41" s="7" t="s">
        <v>62</v>
      </c>
      <c r="E41" s="8">
        <v>1266024</v>
      </c>
      <c r="F41" s="8" t="s">
        <v>9</v>
      </c>
      <c r="G41" s="9">
        <v>3800016484</v>
      </c>
      <c r="H41" s="10" t="s">
        <v>39</v>
      </c>
      <c r="I41" s="11" t="str" cm="1">
        <f t="array" ref="I41">UPPER([2]!ConvNumberLetter(E41))</f>
        <v xml:space="preserve">UN MILLION DEUX CENT SOIXANTE-SIX MILLE VINGT-QUATRE </v>
      </c>
    </row>
    <row r="42" spans="1:9" s="12" customFormat="1" ht="16.5" customHeight="1">
      <c r="A42" s="5">
        <v>46197</v>
      </c>
      <c r="B42" s="5">
        <v>46197</v>
      </c>
      <c r="C42" s="7" t="s">
        <v>63</v>
      </c>
      <c r="D42" s="28" t="s">
        <v>64</v>
      </c>
      <c r="E42" s="8">
        <v>490680</v>
      </c>
      <c r="F42" s="8" t="s">
        <v>9</v>
      </c>
      <c r="G42" s="7">
        <v>4100047578</v>
      </c>
      <c r="H42" s="10" t="s">
        <v>39</v>
      </c>
      <c r="I42" s="11" t="str" cm="1">
        <f t="array" ref="I42">UPPER([2]!ConvNumberLetter(E42))</f>
        <v xml:space="preserve">QUATRE CENT QUATRE-VINGT-DIX MILLE SIX CENT QUATRE-VINGTS </v>
      </c>
    </row>
    <row r="43" spans="1:9" s="12" customFormat="1" ht="16.5" customHeight="1">
      <c r="A43" s="5">
        <v>46197</v>
      </c>
      <c r="B43" s="5">
        <v>46197</v>
      </c>
      <c r="C43" s="7" t="s">
        <v>65</v>
      </c>
      <c r="D43" s="28" t="s">
        <v>66</v>
      </c>
      <c r="E43" s="8">
        <v>218080</v>
      </c>
      <c r="F43" s="8" t="s">
        <v>9</v>
      </c>
      <c r="G43" s="7">
        <v>4100053246</v>
      </c>
      <c r="H43" s="10" t="s">
        <v>39</v>
      </c>
      <c r="I43" s="11" t="str" cm="1">
        <f t="array" ref="I43">UPPER([2]!ConvNumberLetter(E43))</f>
        <v xml:space="preserve">DEUX CENT DIX-HUIT MILLE QUATRE-VINGTS </v>
      </c>
    </row>
    <row r="44" spans="1:9" s="12" customFormat="1" ht="16.5" customHeight="1">
      <c r="A44" s="5">
        <v>46197</v>
      </c>
      <c r="B44" s="5">
        <v>46197</v>
      </c>
      <c r="C44" s="7" t="s">
        <v>67</v>
      </c>
      <c r="D44" s="7" t="s">
        <v>68</v>
      </c>
      <c r="E44" s="8">
        <v>872320</v>
      </c>
      <c r="F44" s="8" t="s">
        <v>9</v>
      </c>
      <c r="G44" s="7">
        <v>4100058090</v>
      </c>
      <c r="H44" s="10" t="s">
        <v>39</v>
      </c>
      <c r="I44" s="11" t="str" cm="1">
        <f t="array" ref="I44">UPPER([2]!ConvNumberLetter(E44))</f>
        <v xml:space="preserve">HUIT CENT SOIXANTE-DOUZE MILLE TROIS CENT VINGT </v>
      </c>
    </row>
    <row r="45" spans="1:9" s="12" customFormat="1" ht="16.5" customHeight="1">
      <c r="A45" s="29">
        <v>46158</v>
      </c>
      <c r="B45" s="29">
        <v>46158</v>
      </c>
      <c r="C45" s="30" t="s">
        <v>69</v>
      </c>
      <c r="D45" s="31" t="s">
        <v>70</v>
      </c>
      <c r="E45" s="32">
        <v>23925000</v>
      </c>
      <c r="F45" s="32" t="s">
        <v>9</v>
      </c>
      <c r="G45" s="33">
        <v>4100051808</v>
      </c>
      <c r="H45" s="30" t="s">
        <v>39</v>
      </c>
      <c r="I45" s="11" t="str" cm="1">
        <f t="array" ref="I45">UPPER([2]!ConvNumberLetter(E45))</f>
        <v xml:space="preserve">VINGT-TROIS MILLIONS NEUF CENT VINGT-CINQ MILLE  </v>
      </c>
    </row>
    <row r="46" spans="1:9" s="12" customFormat="1" ht="16.5" customHeight="1">
      <c r="A46" s="29">
        <v>46127</v>
      </c>
      <c r="B46" s="29">
        <v>46127</v>
      </c>
      <c r="C46" s="30" t="s">
        <v>71</v>
      </c>
      <c r="D46" s="31" t="s">
        <v>72</v>
      </c>
      <c r="E46" s="32">
        <v>4350000</v>
      </c>
      <c r="F46" s="32" t="s">
        <v>9</v>
      </c>
      <c r="G46" s="33">
        <v>4100046275</v>
      </c>
      <c r="H46" s="30" t="s">
        <v>39</v>
      </c>
      <c r="I46" s="11" t="str" cm="1">
        <f t="array" ref="I46">UPPER([2]!ConvNumberLetter(E46))</f>
        <v xml:space="preserve">QUATRE MILLIONS TROIS CENT CINQUANTE MILLE  </v>
      </c>
    </row>
    <row r="47" spans="1:9" s="12" customFormat="1" ht="16.5" customHeight="1">
      <c r="A47" s="29">
        <v>46196</v>
      </c>
      <c r="B47" s="29">
        <v>46196</v>
      </c>
      <c r="C47" s="30" t="s">
        <v>73</v>
      </c>
      <c r="D47" s="31" t="s">
        <v>38</v>
      </c>
      <c r="E47" s="32">
        <v>12789000</v>
      </c>
      <c r="F47" s="32" t="s">
        <v>9</v>
      </c>
      <c r="G47" s="33">
        <v>4100058631</v>
      </c>
      <c r="H47" s="30" t="s">
        <v>39</v>
      </c>
      <c r="I47" s="11" t="str" cm="1">
        <f t="array" ref="I47">UPPER([2]!ConvNumberLetter(E47))</f>
        <v xml:space="preserve">DOUZE MILLIONS SEPT CENT QUATRE-VINGT-NEUF MILLE  </v>
      </c>
    </row>
    <row r="48" spans="1:9" s="12" customFormat="1" ht="16.5" customHeight="1">
      <c r="A48" s="29">
        <v>46157</v>
      </c>
      <c r="B48" s="29">
        <v>46157</v>
      </c>
      <c r="C48" s="30" t="s">
        <v>74</v>
      </c>
      <c r="D48" s="30" t="s">
        <v>75</v>
      </c>
      <c r="E48" s="32">
        <v>24759040</v>
      </c>
      <c r="F48" s="32" t="s">
        <v>9</v>
      </c>
      <c r="G48" s="33">
        <v>4100051662</v>
      </c>
      <c r="H48" s="30" t="s">
        <v>39</v>
      </c>
      <c r="I48" s="11" t="str" cm="1">
        <f t="array" ref="I48">UPPER([2]!ConvNumberLetter(E48))</f>
        <v xml:space="preserve">VINGT-QUATRE MILLIONS SEPT CENT CINQUANTE-NEUF MILLE QUARANTE </v>
      </c>
    </row>
    <row r="49" spans="1:9" s="12" customFormat="1" ht="16.5" customHeight="1">
      <c r="A49" s="6"/>
      <c r="B49" s="6"/>
      <c r="C49" s="6"/>
      <c r="D49" s="6"/>
      <c r="E49" s="6"/>
      <c r="F49" s="6"/>
      <c r="G49" s="6"/>
      <c r="H49" s="6"/>
      <c r="I49" s="11" t="str" cm="1">
        <f t="array" ref="I49">UPPER([2]!ConvNumberLetter(E49))</f>
        <v xml:space="preserve"> </v>
      </c>
    </row>
    <row r="50" spans="1:9" s="12" customFormat="1" ht="16.5" customHeight="1">
      <c r="A50" s="6"/>
      <c r="B50" s="6"/>
      <c r="C50" s="6"/>
      <c r="D50" s="6"/>
      <c r="E50" s="6"/>
      <c r="F50" s="6"/>
      <c r="G50" s="6"/>
      <c r="H50" s="6"/>
      <c r="I50" s="11" t="str" cm="1">
        <f t="array" ref="I50">UPPER([2]!ConvNumberLetter(E50))</f>
        <v xml:space="preserve"> </v>
      </c>
    </row>
    <row r="51" spans="1:9" s="12" customFormat="1" ht="16.5" customHeight="1">
      <c r="A51" s="6"/>
      <c r="B51" s="6"/>
      <c r="C51" s="6"/>
      <c r="D51" s="6"/>
      <c r="E51" s="6"/>
      <c r="F51" s="6"/>
      <c r="G51" s="6"/>
      <c r="H51" s="6"/>
      <c r="I51" s="11" t="str" cm="1">
        <f t="array" ref="I51">UPPER([2]!ConvNumberLetter(E51))</f>
        <v xml:space="preserve"> </v>
      </c>
    </row>
    <row r="52" spans="1:9" s="12" customFormat="1" ht="16.5" customHeight="1">
      <c r="A52" s="6"/>
      <c r="B52" s="6"/>
      <c r="C52" s="6"/>
      <c r="D52" s="6"/>
      <c r="E52" s="6"/>
      <c r="F52" s="6"/>
      <c r="G52" s="6"/>
      <c r="H52" s="6"/>
      <c r="I52" s="11" t="str" cm="1">
        <f t="array" ref="I52">UPPER([2]!ConvNumberLetter(E52))</f>
        <v xml:space="preserve"> </v>
      </c>
    </row>
    <row r="53" spans="1:9" s="12" customFormat="1" ht="16.5" customHeight="1">
      <c r="A53" s="6"/>
      <c r="B53" s="6"/>
      <c r="C53" s="6"/>
      <c r="D53" s="6"/>
      <c r="E53" s="6"/>
      <c r="F53" s="6"/>
      <c r="G53" s="6"/>
      <c r="H53" s="6"/>
      <c r="I53" s="11" t="str" cm="1">
        <f t="array" ref="I53">UPPER([2]!ConvNumberLetter(E53))</f>
        <v xml:space="preserve"> </v>
      </c>
    </row>
    <row r="54" spans="1:9" s="12" customFormat="1" ht="16.5" customHeight="1">
      <c r="A54" s="6"/>
      <c r="B54" s="6"/>
      <c r="C54" s="6"/>
      <c r="D54" s="6"/>
      <c r="E54" s="6"/>
      <c r="F54" s="6"/>
      <c r="G54" s="6"/>
      <c r="H54" s="6"/>
    </row>
    <row r="55" spans="1:9" s="12" customFormat="1" ht="16.5" customHeight="1">
      <c r="A55" s="6"/>
      <c r="B55" s="6"/>
      <c r="C55" s="6"/>
      <c r="D55" s="6"/>
      <c r="E55" s="6"/>
      <c r="F55" s="6"/>
      <c r="G55" s="6"/>
      <c r="H55" s="6"/>
    </row>
    <row r="56" spans="1:9" s="37" customFormat="1" ht="16.5" customHeight="1">
      <c r="A56" s="34"/>
      <c r="B56" s="34"/>
      <c r="C56" s="35"/>
      <c r="D56" s="36"/>
      <c r="G56" s="38"/>
    </row>
    <row r="57" spans="1:9" ht="16.5" customHeight="1">
      <c r="A57" s="39"/>
      <c r="B57" s="39"/>
      <c r="C57" s="39"/>
      <c r="D57" s="40"/>
      <c r="E57" s="39"/>
      <c r="F57" s="39"/>
      <c r="G57" s="39"/>
    </row>
    <row r="58" spans="1:9" s="12" customFormat="1" ht="16.5" customHeight="1">
      <c r="A58" s="41"/>
      <c r="B58" s="41"/>
      <c r="C58" s="42"/>
      <c r="D58" s="43"/>
      <c r="G58" s="44"/>
    </row>
    <row r="59" spans="1:9" s="12" customFormat="1" ht="16.5" customHeight="1">
      <c r="A59" s="41"/>
      <c r="B59" s="41"/>
      <c r="C59" s="42"/>
      <c r="D59" s="43"/>
      <c r="G59" s="44"/>
    </row>
    <row r="60" spans="1:9" s="12" customFormat="1" ht="16.5" customHeight="1">
      <c r="A60" s="41"/>
      <c r="B60" s="41"/>
      <c r="C60" s="42"/>
      <c r="D60" s="43"/>
      <c r="G60" s="44"/>
    </row>
    <row r="61" spans="1:9" ht="16.5" customHeight="1">
      <c r="G61" s="4"/>
    </row>
    <row r="62" spans="1:9" ht="16.5" customHeight="1"/>
    <row r="63" spans="1:9" ht="16.5" customHeight="1"/>
    <row r="64" spans="1:9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Grace LUNGUNDU</dc:creator>
  <cp:lastModifiedBy>Jean Grace LUNGUNDU</cp:lastModifiedBy>
  <dcterms:created xsi:type="dcterms:W3CDTF">2026-07-30T13:46:32Z</dcterms:created>
  <dcterms:modified xsi:type="dcterms:W3CDTF">2026-07-31T16:02:46Z</dcterms:modified>
</cp:coreProperties>
</file>